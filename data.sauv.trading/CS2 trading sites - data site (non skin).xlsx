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nter-Strike" sheetId="1" r:id="rId5"/>
    <sheet state="visible" name="Rust" sheetId="2" r:id="rId6"/>
    <sheet state="visible" name="TF2" sheetId="3" r:id="rId7"/>
    <sheet state="visible" name="Dota 2" sheetId="4" r:id="rId8"/>
    <sheet state="visible" name="bts" sheetId="5" r:id="rId9"/>
    <sheet state="visible" name="Top 5 Countries"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Store = Site sells their own skins to you
Bot trading = you can trade your own skins with site's skins (most of them also allow to deposit money and buy same skins too)
Insta-Sell = Site instantly buys your skins for their price
P2P = Sell and buy from other users, users trade between each other
Marketplace with bots = Same as P2P but site uses bots as middleman (seller sends the skin to a bot when they create the listing, buyer withdraws from the skin from that bot)
Auction = Users create auction listings for their skins, buyer bids for them and the highest bidder buys the skin</t>
      </text>
    </comment>
    <comment authorId="0" ref="C1">
      <text>
        <t xml:space="preserve">either disclosed "cut" that site takes from a purchase (only known if site discloses it)
or trade mode margin (difference between the item in site stock price vs cheapest buff price) &lt;- only applicable to bot trading sites
or store margin (basically same as trade mode but you can't trade your skins, only buy skins from the site itself) &lt;- only applicable to "Store" sites</t>
      </text>
    </comment>
    <comment authorId="0" ref="D1">
      <text>
        <t xml:space="preserve">site's cut for the sale sum of your item
or trade mode margin (difference between your item in site price vs cheapest buff price) &lt;- only applicable to bot trading sites</t>
      </text>
    </comment>
    <comment authorId="0" ref="E1">
      <text>
        <t xml:space="preserve">change between the same item priced on your inventory in site (how much the site itself values it to buy from you) and site's stock of the same item (how much the site sells the same item for)
only applicable to bot trading sites</t>
      </text>
    </comment>
    <comment authorId="0" ref="F1">
      <text>
        <t xml:space="preserve">insta sell margin = price difference compared to cheapest buff prices</t>
      </text>
    </comment>
    <comment authorId="0" ref="E26">
      <text>
        <t xml:space="preserve">trade:
5$: 11% (ak slate ft)
55$: 9% (ak redline ft)
low stock, can't check more expensive items</t>
      </text>
    </comment>
    <comment authorId="0" ref="F26">
      <text>
        <t xml:space="preserve">low: -15% (galil eco ft)
mid: -7% (ak redline ft)
high-mid: -17% (awp asiimov ft)
high: -31% (deagle blaze fn)
avg -18%</t>
      </text>
    </comment>
    <comment authorId="0" ref="G26">
      <text>
        <t xml:space="preserve">Credit/Debit cards, PayPal, Payop, Neosurf, Skrill, Bank transfer, ZEN, Crypto, PayDo, Revolut: 0%</t>
      </text>
    </comment>
    <comment authorId="0" ref="H26">
      <text>
        <t xml:space="preserve">SEPA, BTC, ETH, LTC, TRON, SOL, DOGE: 0%</t>
      </text>
    </comment>
    <comment authorId="0" ref="E10">
      <text>
        <t xml:space="preserve">trade:
5$: 12% (ak slate ft)
55$: 13.5% (ak redline ft)
200$: 14% (awp asiimov ft)
700$: 14% (gloves amphibious ft)</t>
      </text>
    </comment>
    <comment authorId="0" ref="F43">
      <text>
        <t xml:space="preserve">low: -21% (galil eco ft)
mid: -21% (ak redline ft)
high-mid: -22% (awp asiimov ft)
high: -21% (butterfly crimson ft)
avg -21%</t>
      </text>
    </comment>
    <comment authorId="0" ref="F10">
      <text>
        <t xml:space="preserve">low: -24% (galil eco ft)
mid: -22% (ak redline ft)
high-mid: -23% (awp asiimov ft)
high: -22% (butterfly crimson ft)
avg -23%</t>
      </text>
    </comment>
    <comment authorId="0" ref="G10">
      <text>
        <t xml:space="preserve">Credit/Debit cards: 3%+0.3$. CashApp: 3%+0.3$. Crypto: 1%. Kinguin gift cards: 0%. PIX: 4.7%</t>
      </text>
    </comment>
    <comment authorId="0" ref="H43">
      <text>
        <t xml:space="preserve">LTC: 0.5$
ETH, USDT TRC20, USDT ERC20: 7$</t>
      </text>
    </comment>
    <comment authorId="0" ref="H10">
      <text>
        <t xml:space="preserve">PayPal: 2% + 0.25$.
LTC: 0%.
ETH: 0.66$.
Venmo: 2% + 0.25$.
USDT ERC20: 0.66$.
USDC ERC20: 0.66$.
BTC: 0.39$</t>
      </text>
    </comment>
    <comment authorId="0" ref="E2">
      <text>
        <t xml:space="preserve">5$: 10% (ak slate ft)
55$: 8.5% (ak redline ft)
200$: 9% (awp asiimov ft)
700$: 13% (gloves amphibious ft)</t>
      </text>
    </comment>
    <comment authorId="0" ref="F2">
      <text>
        <t xml:space="preserve">low: -10% (galil eco ft)
mid: -12% (ak redline ft)
high-mid: -13% (awp asiimov ft)
high: -14% (gloves amphibious bs)
avg -12%</t>
      </text>
    </comment>
    <comment authorId="0" ref="G35">
      <text>
        <t xml:space="preserve">Credit/Debit cards: 3.99% + 1$.
Skrill: 3.9% + 1$.
USDT ERC20: Variable.
USDT TRC20: 0%</t>
      </text>
    </comment>
    <comment authorId="0" ref="G2">
      <text>
        <t xml:space="preserve">Crypto: 0%.
Credit/Debit cards, Alipay, Bancontact, Cash App pay, iDeal, Link, WeChat pay: 2.8%+0.3$
</t>
      </text>
    </comment>
    <comment authorId="0" ref="H35">
      <text>
        <t xml:space="preserve">Bank transfer: 3% + 10$.
USDT ERC20: 3% + 5$.
USDT TRC20: 3% + 1$</t>
      </text>
    </comment>
    <comment authorId="0" ref="H2">
      <text>
        <t xml:space="preserve">Bank, Crypto: 2%.
Balance, Credit/Debit Card: 0%</t>
      </text>
    </comment>
    <comment authorId="0" ref="F27">
      <text>
        <t xml:space="preserve">low: -65% (galil eco ft)
mid: -56% (ak redline ft)
high-mid: -12% (awp asiimov ft)
high: -39% (butterfly crimson ft)
avg -43%</t>
      </text>
    </comment>
    <comment authorId="0" ref="H27">
      <text>
        <t xml:space="preserve">PayPal: 2% +0.3$.
ETH: 2.5$.
LTC: 0.5$.
BTC: 5$</t>
      </text>
    </comment>
    <comment authorId="0" ref="E19">
      <text>
        <t xml:space="preserve">trade:
5$: 7% (ak slate ft)
55$: 18% (ak redline ft)
200$: 15.5% (awp asiimov ft)
700$: 19% (gloves amphibious ft)</t>
      </text>
    </comment>
    <comment authorId="0" ref="F19">
      <text>
        <t xml:space="preserve">low: -4% (galil eco ft)
mid: -17% (ak redline ft)
high-mid: -2% (awp asiimov ft)
high: -4% (butterfly crimson ft)
avg -7%
</t>
      </text>
    </comment>
    <comment authorId="0" ref="G19">
      <text>
        <t xml:space="preserve">Credit/Debit cards: 4.2% + 0.3$. 
USDC ERC20, ETH, LTC, TRON, USDT TRON, BNB, TON, USDT ERC20, USDT BEP20, USDT TRC20, USDT TRON, BTC, USDC BEP20: 0%. 
PayPal: 4.9% + 0.5$</t>
      </text>
    </comment>
    <comment authorId="0" ref="H19">
      <text>
        <t xml:space="preserve">VISA Cards: 1.5% + $1.2</t>
      </text>
    </comment>
    <comment authorId="0" ref="F44">
      <text>
        <t xml:space="preserve">low: -7% (ak slate ft)
mid: -3% (ak redline ft)
high-mid: -4% (awp asiimov ft)
high: -5% (deagle blasze fn)
avg -5%</t>
      </text>
    </comment>
    <comment authorId="0" ref="F11">
      <text>
        <t xml:space="preserve">low: -5% (galil eco ft)
mid: -25% (ak redline ft)
high-mid: -8% (awp asiimov ft)
high: -13% (butterfly crimson ft)
avg -13%</t>
      </text>
    </comment>
    <comment authorId="0" ref="G11">
      <text>
        <t xml:space="preserve">CBL: 3%. USDC ERC20, Tether ERC20, Tether BEP20, Tether TRC20, BTC, ETH, BNB, TON, LTC, TRON: 0.5%. RUB: 3%. KZT: 6.5%
</t>
      </text>
    </comment>
    <comment authorId="0" ref="H11">
      <text>
        <t xml:space="preserve">Credit/Debit cards: 3%+. CBL: 1.5%. Bank transfer: 4%. PayPal: 6%. Tether TRC20: 2.5$. Tether BEP20: 0.5$. BNB: 0.5$. Tether ERC20: 2$. ETH: 3$. TRON: 0.5$. LTC: 0.1$. SOL: 0.1$. TON: 1$. Steam: 0.5%. BTC: 5$</t>
      </text>
    </comment>
    <comment authorId="0" ref="E3">
      <text>
        <t xml:space="preserve">trade bots:
5$: 8% (ak slate ft)
55$: 10.5% (ak redline ft)
200$: 9% (awp asiimov ft)
700$: 7.5% (gloves amphibious ft)</t>
      </text>
    </comment>
    <comment authorId="0" ref="F3">
      <text>
        <t xml:space="preserve">low: -20% (galil eco ft)
mid: -18% (ak redline ft)
high-mid: -16% (awp asiimov ft)
high: -12% (butterfly crimson ft)
avg -17%
</t>
      </text>
    </comment>
    <comment authorId="0" ref="G36">
      <text>
        <t xml:space="preserve">USDT Cryptomus: 1%.
SEPA: 2%+0.26$.
Credit/Debit cards: 0%.
Bank transfer: 1%+0.26$.
USDT TRC20: 1%+5$.
USDT BEP20: 1%.
USDT ERC20: 1%+15$.
USDC TRC20: 1%+5$.
USDC BEP20: 1%.
USDC ERC20: 1%+15$</t>
      </text>
    </comment>
    <comment authorId="0" ref="G3">
      <text>
        <t xml:space="preserve">BTC, LTC, ETH, SOL, Kinguin: 0%
Credit/Debit cards: 2.9% +0.4$</t>
      </text>
    </comment>
    <comment authorId="0" ref="H36">
      <text>
        <t xml:space="preserve">USDC BEP20: 0.005% + 0.5$. USDC ERC20: 0.005%+15$. USDC TRC20: 0.01%+5$. USDT BEP20: 0.005%+0.5$. USDT ERC20: 0.005%+15$. USDT TRC20: 0.01%+5$</t>
      </text>
    </comment>
    <comment authorId="0" ref="H3">
      <text>
        <t xml:space="preserve">Payoneer: 3$.
PayPal: 3.75$.
Volet: $0.5.
LTC: $0.1.
BTC: 5$.
ETH: 2$.
SOL: 0.1$.
USDC SOL: 0.1$.
USDT ERC20: 2$.</t>
      </text>
    </comment>
    <comment authorId="0" ref="F28">
      <text>
        <t xml:space="preserve">low: -17% (galil eco ft)
mid: -15% (ak redline ft)
high-mid: -19% (awp asiimov ft)
high: -24% (butterfly crimson ft)
avg -19%</t>
      </text>
    </comment>
    <comment authorId="0" ref="H28">
      <text>
        <t xml:space="preserve">VISA: 1.5% + 1 EUR.
MasterCard: 4% + 2.5 EUR.
PayPal: 4% + 2$.
Skrill: 1%.
Payoneer: 1%.
Bank transfer: 1% + 1 EUR.
BTC, LTC, Tether TRC20&amp;ERC20, TRON, BCH, BNB, ADA, DOGE, USDC ERC20, SOL, USDCS, USDTS, USDTB: 1.5%.
ETH: 1.5% + 10 EUR
</t>
      </text>
    </comment>
    <comment authorId="0" ref="F20">
      <text>
        <t xml:space="preserve">low: -25% (p250 asiimov ft)
mid: -19% (ak redline ft)
high-mid: -20% (awp asiimov ft)
high-mid: -25% (butterfly crimson ft)
avg -22%</t>
      </text>
    </comment>
    <comment authorId="0" ref="H20">
      <text>
        <t xml:space="preserve">PayPal: 2%.
BTC: 2$.
ETH: 1$.
LTC: 0.1$.</t>
      </text>
    </comment>
    <comment authorId="0" ref="G45">
      <text>
        <t xml:space="preserve">Credit/Debit cards, Apple Pay, Google Pay: 3.2% + 0.3$.
Crypto: 0.9%</t>
      </text>
    </comment>
    <comment authorId="0" ref="G12">
      <text>
        <t xml:space="preserve">Credit/Debit cards, Apple Pay, Google Pay:100$ has 3.94% fee, lower for higher amounts. BTC, LTC, ETH, USDT, USDC, Tron: 4%. Skrill, UnionPay, BTC, Neosurf, Sofort, Neteller, Trustly, Bancontact, ZEN: 4%
</t>
      </text>
    </comment>
    <comment authorId="0" ref="H45">
      <text>
        <t xml:space="preserve">Bank transfer, PayPal, BTC, ETH, USDT ERC20: 1% + $8</t>
      </text>
    </comment>
    <comment authorId="0" ref="H12">
      <text>
        <t xml:space="preserve">Payoneer: 3$.
Gift cards: 0%.
PayPal: 2.75% +0.5$.
BTC lightning: 10%.
Venmo: 2.75%.
Bank transfer: 26$ (15$ for US).
PayPal (tipalti): $1 + 2% up to $21($2 for US).
Check: 2$.
Mastercard (US): 0%.
Debit card (US): 2.75%.
Cash app: 2.75%.
Zelle: 2.75%.
USDT ERC20: 5% + 5$</t>
      </text>
    </comment>
    <comment authorId="0" ref="E37">
      <text>
        <t xml:space="preserve">trade:
5$: 10% (ak slate ft)
55$: 7% (ak redline ft)
200$: 9.5% (awp asiimov ft)
700$: 9.5% (gloves amphibious ft)</t>
      </text>
    </comment>
    <comment authorId="0" ref="E4">
      <text>
        <t xml:space="preserve">trade:
5$: 11.5% (ak slate ft)
55$: 6.5% (ak redline ft)
200$: 11% (awp asiimov ft)
700$: 16% (gloves amphibious ft)</t>
      </text>
    </comment>
    <comment authorId="0" ref="G37">
      <text>
        <t xml:space="preserve">Revolut, Payop: 5% + 0.5$.
Credit/Debit cards, Apple Pay, Google Pay: 3% + 0.25$.
BTC, LTC, ETH, USDT, USDC, DOGE: 0%.
Neteller: 5% + 0.25$</t>
      </text>
    </comment>
    <comment authorId="0" ref="G4">
      <text>
        <t xml:space="preserve">Visa, Mastercard, Apple Pay, Google Pay, Kinguin, Tether, ETH, BTC: 0%</t>
      </text>
    </comment>
    <comment authorId="0" ref="H37">
      <text>
        <t xml:space="preserve">DOGE: 0%.
Neteller: 5% + 0.25$
</t>
      </text>
    </comment>
    <comment authorId="0" ref="H4">
      <text>
        <t xml:space="preserve">Visa, SEPA, Tether, ETH, BTC: 0%</t>
      </text>
    </comment>
    <comment authorId="0" ref="F29">
      <text>
        <t xml:space="preserve">low: -11% (galil eco ft)
mid: -7% (ak redline ft)
high-mid: -5% (awp asiimov ft)
high: -8% (butterfly crimson ft)
avg -8%</t>
      </text>
    </comment>
    <comment authorId="0" ref="G29">
      <text>
        <t xml:space="preserve">Credit/Debit cards, Google Pay, Apple Pay, Skrill, Trustly, blik, Union Pay: 3%. BTC: ~$1.73 up to $150 amount, 1% afterwards. LTC, ETH: 1%. USDT TRC20: ~$2.89 up to $330 amount, 0.8% afterwards. USDT ERC20: 1%. Kinguin: 0%</t>
      </text>
    </comment>
    <comment authorId="0" ref="H29">
      <text>
        <t xml:space="preserve">Bank transfer: 2.5% + $1.2.
BTC: 2% + 0.000012 BTC.
ETH, LTC, SOL, USDC ERC20: 2%</t>
      </text>
    </comment>
    <comment authorId="0" ref="G21">
      <text>
        <t xml:space="preserve">Credit/Debit cards: 3.5% + $0.15
Crypto: 1%</t>
      </text>
    </comment>
    <comment authorId="0" ref="H21">
      <text>
        <t xml:space="preserve">Payoneer: 1% + $1.
Bank transfer: 1% + fixed fee</t>
      </text>
    </comment>
    <comment authorId="0" ref="E13">
      <text>
        <t xml:space="preserve">trade:
5$: 10.5% (ak slate ft)
55$: 5% (ak redline ft)
200$: 6% (awp asiimov ft)</t>
      </text>
    </comment>
    <comment authorId="0" ref="G46">
      <text>
        <t xml:space="preserve">Credit/Debit card: 0%
Crypto (cryptomus): 2%
Difmark: 0%
PIX: 1.5%</t>
      </text>
    </comment>
    <comment authorId="0" ref="G13">
      <text>
        <t xml:space="preserve">Credit/Debit cards: 3.9% + $0.39. Crypto: 1%</t>
      </text>
    </comment>
    <comment authorId="0" ref="H46">
      <text>
        <t xml:space="preserve">Crypto: 0%
PIX: 0%</t>
      </text>
    </comment>
    <comment authorId="0" ref="G38">
      <text>
        <t xml:space="preserve">Credit/Debit cards, Google Pay, BTC, Apple Pay, ETH, ZEN, TRON, Tether ERC20, Tether TRC20: ~3.5%</t>
      </text>
    </comment>
    <comment authorId="0" ref="G5">
      <text>
        <t xml:space="preserve">Visa, Mastercard, Apple Pay, PayPal: 0%</t>
      </text>
    </comment>
    <comment authorId="0" ref="H38">
      <text>
        <t xml:space="preserve">bank card: 3% + $1.3 for  &lt;65$, 5$ for &gt;65$
steam: 5%
paypal: 5%
sepa: 5.5% + $3.6 or 6%
btc: 0.3% + 12.85$ for &lt;274$, 5% for &gt;274%
eth: 0.3% + $1.09 for &lt;24$, 5% for &gt;24$
tether erc20: 0.3% + 2.7$ for &lt;58$, 5% for &gt;58$
tether trc20: 0.3% + 3.2$ for &lt;69$, 5% for &gt;69$
tron: 2% + 0.07$ for &lt;3$, 5% for &gt;3$</t>
      </text>
    </comment>
    <comment authorId="0" ref="H5">
      <text>
        <t xml:space="preserve">SEPA: 0%</t>
      </text>
    </comment>
    <comment authorId="0" ref="G30">
      <text>
        <t xml:space="preserve">Unionpay: 0%.
Credit/Debit cards: 0%.
SEPA: 1%.
BTC, LTC, BNB: 2%.
TRON, Tether: 0%.
TON, SOL, Tether SPL, USDC, DAI, ETH, Tether TON, AVAX, BCH, DASH, DOGE, MATIC, XMR: 1%
</t>
      </text>
    </comment>
    <comment authorId="0" ref="H30">
      <text>
        <t xml:space="preserve">Tether PRC20: 1%.
TRON, Tether TRC20: 2%</t>
      </text>
    </comment>
    <comment authorId="0" ref="E22">
      <text>
        <t xml:space="preserve">trade:
5$: 8% (ak slate ft)
55$: 8% (ak redline ft)
200$: 8% (awp asiimov ft)
380$: 8% (ak fuel injector ft)</t>
      </text>
    </comment>
    <comment authorId="0" ref="G22">
      <text>
        <t xml:space="preserve">Credit/Debit cards, PayPal, Kinguin, Revolut, Trustly, Neteller, Skrill, Neosurf, ZEN: 0%</t>
      </text>
    </comment>
    <comment authorId="0" ref="F47">
      <text>
        <t xml:space="preserve">low: -11% (ak slate ft)
mid: -11% (ak redline ft)
high-mid: -7% (awp asiimov ft)
high: 3% (deagle blasze fn)
avg -7%</t>
      </text>
    </comment>
    <comment authorId="0" ref="G14">
      <text>
        <t xml:space="preserve">bank transfer (sepa/swift): 0%
klarna: 5%
credit card: 5% + 0.35 EUR
ideal: 5%</t>
      </text>
    </comment>
    <comment authorId="0" ref="H47">
      <text>
        <t xml:space="preserve">PayPal: 2%
SEPA: 0%
Revolut: 0%
Bank (PLN): 0%</t>
      </text>
    </comment>
    <comment authorId="0" ref="H14">
      <text>
        <t xml:space="preserve">Bank transfer: 0%</t>
      </text>
    </comment>
    <comment authorId="0" ref="F39">
      <text>
        <t xml:space="preserve">low: -8% (galil eco ft)
mid: -4% (ak redline ft)
high-mid: -3% (awp asiimov ft)
high: -8% (butterfly crimson ft)
avg -6%</t>
      </text>
    </comment>
    <comment authorId="0" ref="G39">
      <text>
        <t xml:space="preserve">PayPal, blik, Sofort, UnionPay, WeChat, PagSeguro, MB: 0%. Credit/Debit cards: 3% + 0.28$. Skrill, Neteller: 3.36% + 0.33$. Alipay: 3%. BTC, ETH, USDT TRC20, USDT ERC20, BCH, LTC, SOL, USDT TON, USDC ERC20: 0%</t>
      </text>
    </comment>
    <comment authorId="0" ref="G6">
      <text>
        <t xml:space="preserve">Credit/Debit cards: 2.8% + 0.3$.
USDC, USDP: 1%.
iDeal: 1.8% + 0.29 EUR</t>
      </text>
    </comment>
    <comment authorId="0" ref="H39">
      <text>
        <t xml:space="preserve">MasterCard: 4.2% + $1.15. VISA: 1.5% + 1.15$. SEPA: 0%. Skrill: 1%. Neteller: 2%. BTC: 0.4% + 3.88$. ETH: 0.4% + 0.16$. USDT TRC20: 0.4% + 2.99$. USDT ERC20: 0.4% + 0.38$. BCH: 0.4% + 0.77$. BNB: 0.4% + 0.99$. LTC: 0.4% + 1.06$. SOL: 0.4% + 1.33$. USDC BEP20: 0.4% + 0.99$. USDT BEP20: 0.4% + 0.99$. USDT TON: 0.4% + 0.99$. USDC ERC20: 0.4% + 0.71$.</t>
      </text>
    </comment>
    <comment authorId="0" ref="H6">
      <text>
        <t xml:space="preserve">Credit/Debit cards, Bank transfer, USDC ERC-20: 0.5-2.5%</t>
      </text>
    </comment>
    <comment authorId="0" ref="F31">
      <text>
        <t xml:space="preserve">galil eco ft = -14%
ak redline ft = -12%
awp asiimov ft = -11%
desert eagle blaze fn = -12%
avg = -12%</t>
      </text>
    </comment>
    <comment authorId="0" ref="H31">
      <text>
        <t xml:space="preserve">PayPal: 2%. Bank transfer: 1%</t>
      </text>
    </comment>
    <comment authorId="0" ref="F23">
      <text>
        <t xml:space="preserve">low: -7% (galil eco ft)
mid: -9% (ak redline ft)
high-mid: -17% (awp asiimov ft)
high: -24% (butterfly crimson ft)
avg -14%</t>
      </text>
    </comment>
    <comment authorId="0" ref="G23">
      <text>
        <t xml:space="preserve">Credit/Debit cards: 3% + provider fee.
Tether, USDC, LTC, SOL, DOGE, WBT Coin, ETH, BTC, Kinguin, Driffle, G2A, SEAGM: 0%</t>
      </text>
    </comment>
    <comment authorId="0" ref="H23">
      <text>
        <t xml:space="preserve">Whitebit code: 0%. USDT TRC20: 1$. LTC: 2.13$. USDC: 2.01$. SOL: 2.7$. DOGE: 1.46$. BTC: 43.33$. ETH: 3.77$</t>
      </text>
    </comment>
    <comment authorId="0" ref="F48">
      <text>
        <t xml:space="preserve">low: -19% (ak slate ft)
mid: -13% (ak redline ft)
high-mid: -20% (awp asiimov ft)
high: -12% (deagle blasze fn)
avg -16%</t>
      </text>
    </comment>
    <comment authorId="0" ref="F15">
      <text>
        <t xml:space="preserve">low: -10% (galil eco ft)
mid: -3% (ak redline ft)
high-mid: -2% (awp asiimov ft)
high: -11% (deagle blaze fn)
avg -7%</t>
      </text>
    </comment>
    <comment authorId="0" ref="G15">
      <text>
        <t xml:space="preserve">MIR, CBL, FK wallet: 1%.
TRON: 0%.
TON: 0%.
ETH: 0%.
BTC: 0%.
USDT: 0%</t>
      </text>
    </comment>
    <comment authorId="0" ref="H15">
      <text>
        <t xml:space="preserve">MIR: 30rub + 1.7%.
CBL: 30rub.
USDT: 1 USDT.
TON: 0.01 TON.
BTC: 0.00025 BTC</t>
      </text>
    </comment>
    <comment authorId="0" ref="F7">
      <text>
        <t xml:space="preserve">low: -7% (galil eco ft)
mid: -5% (ak redline ft)
high-mid: -8% (awp asiimov ft)
high: -6% (butterfly crimson ft)
avg -7%</t>
      </text>
    </comment>
    <comment authorId="0" ref="G40">
      <text>
        <t xml:space="preserve">Credit/Debit cards: 1%.
Epay, AliPay, WeChat Pay: 0%</t>
      </text>
    </comment>
    <comment authorId="0" ref="G7">
      <text>
        <t xml:space="preserve">Rapid Transfer: 2%+0.13$.
Apple pay: 3.5%+0.25$.
Visa, MasterCard:3.5%+0.25$.
Google Pay: 3.5% +0.25$.
BTC: 2%.
ETH: 2%.
LTC: 2%.
Uphold: 0%.
Tether: 2%.
USDC: 2%.
Skrill: 3.9%+0.13$. Neteller:3.9%+0.13$.
Other Crypto: 2%.
BTC Cash: 2%.
Solana: 2%.
Tron: 2%.
G2A gift card: 0%.
Kinguin: 0%</t>
      </text>
    </comment>
    <comment authorId="0" ref="H7">
      <text>
        <t xml:space="preserve">some options also take fixed cash fee*, see below:
SEPA: 5.75$
Payoneer: 0%
BTC: 1.5%
Tether: 2%
Donate to Ukraine: 0%
ETH: 2%
LTC: 2%
Check: 3.45$
PayPal: 2% +3.3%
uphold: 0.25$
Skrill: 1%
</t>
      </text>
    </comment>
    <comment authorId="0" ref="G32">
      <text>
        <t xml:space="preserve">Credit/Debit cards, Apple Pay, Google Pay, SEPA, iDeal, Bancontact, Przelewy24, blik, EPS, Multibanco: 3.5% + 0.3$. USDT TRC20, USDT ERC20, USDT BEP20, USDC, DAI, BTC, ETH, LTC, BNB, MATIC, SOL, TRX, XRP, ADA, DOGE, XLM, AVAX: 1% + 0.5$</t>
      </text>
    </comment>
    <comment authorId="0" ref="E24">
      <text>
        <t xml:space="preserve">trade:
ak point disarray ft: 35%
ak redline ft: 29%
awp asiimov ft: 30%
ak fuel injector ft: 32%
</t>
      </text>
    </comment>
    <comment authorId="0" ref="F24">
      <text>
        <t xml:space="preserve">low: -10% (galil eco ft)
mid: -6% (ak redline ft)
high-mid: -4% (awp asiimov ft)
high: -6% (butterfly crimson ft)
avg -7%</t>
      </text>
    </comment>
    <comment authorId="0" ref="G24">
      <text>
        <t xml:space="preserve">Credit/Debit cards, Google Pay, Apple Pay, Skrill, Trustly: 0%.
BTC: $1.57 up to $150 amount, 1% afterwards.
LTC, ETH: 1%.
Tether TRC20: $2.64 up to $330 amount, 0.8% afterwards.
Tether ERC20: 1%</t>
      </text>
    </comment>
    <comment authorId="0" ref="H24">
      <text>
        <t xml:space="preserve">BNB, BTC, ETH, LTC, Tether ERC20, TRC20: 5%
bank transfer: 5%</t>
      </text>
    </comment>
    <comment authorId="0" ref="F49">
      <text>
        <t xml:space="preserve">low: -13% (ak slate ft)
mid: -6% (ak redline ft)
high-mid: -4% (awp asiimov ft)
high: -6% (deagle blasze fn)
avg -7%</t>
      </text>
    </comment>
    <comment authorId="0" ref="F16">
      <text>
        <t xml:space="preserve">low: -8% (galil eco ft)
mid: -6% (ak redline ft)
high-mid: -3% (awp asiimov ft)
high: -7% (butterfly crimson ft)
avg -6%</t>
      </text>
    </comment>
    <comment authorId="0" ref="G49">
      <text>
        <t xml:space="preserve">USDT TRC20, USDT TON, USDT BEP20, USDT SOL, USDT ERC20, USDC ERC20, USDC BEP20, USDC SOL, BTC, ETH, LTC: 0%.
SBP: 2%</t>
      </text>
    </comment>
    <comment authorId="0" ref="G16">
      <text>
        <t xml:space="preserve">Credit/Debit cards: 4%. BTC: 1.73$ up to $175, 1% after. LTC, ETH: 1%. USDT TRC20, ERC20: 1.39$ up to $216, 0.65% after.</t>
      </text>
    </comment>
    <comment authorId="0" ref="H49">
      <text>
        <t xml:space="preserve">PayPal: 5% + $4.
MIR: 3.5% + ₽4.
USDC SOL, USDT TON, ETH, LTC, BTC, USDT TRC20, USDT BEP20, USDT SOL, USDC BEP20: $0.49</t>
      </text>
    </comment>
    <comment authorId="0" ref="H16">
      <text>
        <t xml:space="preserve">PayPal, Bank transfer, Venmo: 2.5%. Credit/Debit cards: 2.9%. Revolut: 1.5%. Tether TRC20: 1 EUR/USD + 0.5%. LTC, TRON: 0.5%.</t>
      </text>
    </comment>
    <comment authorId="0" ref="E41">
      <text>
        <t xml:space="preserve">trade:
5$: 10% (ak slate ft)
130$: 5% (awp containment breach ft)
don't really have stock for skins I have</t>
      </text>
    </comment>
    <comment authorId="0" ref="F8">
      <text>
        <t xml:space="preserve">low: -6% (galil eco ft)
mid: -7% (ak redline ft)
high-mid: -6% (awp asiimov ft)
high: -7% (gloves amphibious bs)
avg -7%</t>
      </text>
    </comment>
    <comment authorId="0" ref="G41">
      <text>
        <t xml:space="preserve">Coinbase, Cryptomus, Credit/Debit cards, Google Pay, Apple Pay, ZEN, Skrill, Klarna, Qivi, Poli, Paysafecard: 0%</t>
      </text>
    </comment>
    <comment authorId="0" ref="G8">
      <text>
        <t xml:space="preserve">USDT TRC-20, USDT ERC-20, USDT TON, USDT BSC, LTC, ETH, BTC, USDC ERC-20, SOL, USDC BSC: 0%</t>
      </text>
    </comment>
    <comment authorId="0" ref="H8">
      <text>
        <t xml:space="preserve">Credit/Debit cards: 3.5% + 0.5EUR.
USDT TRC-20: 0.4%+2.99$.
USDT ERC-20: 0.4%+0.17$.
USDT BSC: 0.4%+0.99$.
BTC: 0.4%+3.18$.
ETH: 0.4%+0.08$.
BNB: 0.4%+0.68$.
LTC: 0.4%+0.94$.
SOL: 0.4%+1.29$.
USDT TON: 0.4%+0.99$.
USDC ERC-20: 0.4%+0.17$</t>
      </text>
    </comment>
    <comment authorId="0" ref="F33">
      <text>
        <t xml:space="preserve">low: -25% (galil eco ft)
mid: -21% (ak redline ft)
high-mid: -20% (awp asiimov ft)
high: -22% (butterfly crimson ft)
avg -22%</t>
      </text>
    </comment>
    <comment authorId="0" ref="G33">
      <text>
        <t xml:space="preserve">Credit/Debit cards, Sofort, Neosurf, blik, WeChat Pay, UnionPay: 0%</t>
      </text>
    </comment>
    <comment authorId="0" ref="E25">
      <text>
        <t xml:space="preserve">trade:
5$: 15% (ak slate ft)
55$: 9% (ak redline ft)
135$: 8% (m4 master piece ft)</t>
      </text>
    </comment>
    <comment authorId="0" ref="F25">
      <text>
        <t xml:space="preserve">low: -10% (galil eco ft)
mid: -9% (ak redline ft)
high-mid: -8% (awp asiimov ft)
high: -12% (butterfly crimson)
avg -10%
</t>
      </text>
    </comment>
    <comment authorId="0" ref="G25">
      <text>
        <t xml:space="preserve">BTC, ETH, LTC, SOL, DOGE, Chainlink (erc), USDC (erc), USDT (erc): 2%.
Kinguin gift cards: 5%</t>
      </text>
    </comment>
    <comment authorId="0" ref="H25">
      <text>
        <t xml:space="preserve">PayPal: $1+2%.
BTC: $1.27.
ETH: $0.05.
LTC: $0.01.
USDT (erc): $0.23</t>
      </text>
    </comment>
    <comment authorId="0" ref="F17">
      <text>
        <t xml:space="preserve">low: -12% (galil eco ft)
mid: -13% (ak redline ft)
high-mid: -12% (awp asiimov ft)
high: -14% (butterfly crimson ft)
avg -13%</t>
      </text>
    </comment>
    <comment authorId="0" ref="H17">
      <text>
        <t xml:space="preserve">PayPal, Bank transfer: 2.5%.
Revolut: 1.5%.
Tether TRC20: 1 EUR/USD + 0.5%.
LTC, TRON: 0.5%.
BTC: 14 EUR/USD + 0.5%.
ETH: 5 EUR/USD + 0.5%</t>
      </text>
    </comment>
    <comment authorId="0" ref="E9">
      <text>
        <t xml:space="preserve">trade
5$: 13% (ak slate ft)
55$: 13% (ak redline ft)
200$: 13% (awp asiimov ft)
700$: 13% (gloves amphibious ft)</t>
      </text>
    </comment>
    <comment authorId="0" ref="F42">
      <text>
        <t xml:space="preserve">low: -7% (galil eco ft)
mid: -3% (ak redline ft)
high-mid: 0% (awp asiimov ft)
high: -7% (butterfly crimson ft)
avg -4%</t>
      </text>
    </comment>
    <comment authorId="0" ref="F9">
      <text>
        <t xml:space="preserve">low: -5% (galil eco ft)
mid: -6% (ak redline ft)
high-mid: -7% (awp asiimov ft)
high: -6% (butterfly crimson ft)
avg -6%</t>
      </text>
    </comment>
    <comment authorId="0" ref="G42">
      <text>
        <t xml:space="preserve">USDT BNB, USDT ERC20, USDT TON, USDT TRON, LTC, ETH, ETH BNB, SOL, BNB, BTC, BTC BNB, TRX, TON, Kinguin: 0%. SBP: 6.4%</t>
      </text>
    </comment>
    <comment authorId="0" ref="G9">
      <text>
        <t xml:space="preserve">Credit/Debit cards, Neteller, Neosurf, Skrill, Google Pay, Sofort, Trustly, Kinguin, blik, BTC, ETH, LTC, DOGE, USDT ERC20, USDT TRC20, USDC ERC20, TRX: 0%</t>
      </text>
    </comment>
    <comment authorId="0" ref="H42">
      <text>
        <t xml:space="preserve">USDT BNB: 0.1$.
USDT ETH: 2$.
USDT TON: 0.1$.
USDT TRON: 2.5$.
LTC: 0$.
ETH BNB: 0.1$.
ETH: 1$.
SOL: 0$.
BNB: 0.1$.
TON: 0.1$.
BTC: 10$.
BTC BNB: 0.1$.
TRON: 1$.
VISA MIR: 3.5% + 10₽</t>
      </text>
    </comment>
    <comment authorId="0" ref="H9">
      <text>
        <t xml:space="preserve">BTC: 1.8$.
ETH: 0.11$.
USDT ERC20: 0.33$.
USDC ERC20: 0.33$.
LTC: 0$.
TRON: 0.23$.
USDT TRC20: 3$</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Visa, Mastercard, Apple Pay, PayPal: 0%</t>
      </text>
    </comment>
    <comment authorId="0" ref="C1">
      <text>
        <t xml:space="preserve">either disclosed "cut" that site takes from a purchase (only known if site discloses it)
or trade mode margin (difference between the item in site stock price vs cheapest Steam market price) &lt;- only applicable to bot trading sites
or store margin (basically same as trade mode but you can't trade your skins, only buy skins from the site itself) &lt;- only applicable to "Store" sites</t>
      </text>
    </comment>
    <comment authorId="0" ref="D1">
      <text>
        <t xml:space="preserve">site's cut for the sale sum of your item
or trade mode margin (difference between your item in site price vs cheapest Steam market price) &lt;- only applicable to bot trading sites</t>
      </text>
    </comment>
    <comment authorId="0" ref="H5">
      <text>
        <t xml:space="preserve">SEPA: 0%</t>
      </text>
    </comment>
    <comment authorId="0" ref="E1">
      <text>
        <t xml:space="preserve">change between the same item priced on your inventory in site (how much the site itself values it to buy from you) and site's stock of the same item (how much the site sells the same item for)
only applicable to bot trading sites</t>
      </text>
    </comment>
    <comment authorId="0" ref="F1">
      <text>
        <t xml:space="preserve">insta sell fee = how much less the site pays compared to the Steam market price (the closer % to 0, the better value it is)</t>
      </text>
    </comment>
    <comment authorId="0" ref="E22">
      <text>
        <t xml:space="preserve">trade:
8$: 10% (ak no mercy)</t>
      </text>
    </comment>
    <comment authorId="0" ref="F22">
      <text>
        <t xml:space="preserve">Snowcamo Jacket = -54%
No Mercy AK = -41%</t>
      </text>
    </comment>
    <comment authorId="0" ref="G22">
      <text>
        <t xml:space="preserve">Credit/Debit cards, PayPal, Payop, Neosurf, Skrill, Bank transfer, ZEN, Crypto, PayDo, Revolut: 0%</t>
      </text>
    </comment>
    <comment authorId="0" ref="H22">
      <text>
        <t xml:space="preserve">SEPA, BTC, ETH, LTC, TRON, SOL, DOGE: 0%</t>
      </text>
    </comment>
    <comment authorId="0" ref="F18">
      <text>
        <t xml:space="preserve">Snowcamo Jacket = -43%
No Mercy AK = -41%</t>
      </text>
    </comment>
    <comment authorId="0" ref="G18">
      <text>
        <t xml:space="preserve">Credit/Debit cards: 1.75%.
Bank transfer: 0.5%.
Apple Pay: 1.75%.
PayPal: 3.8%.
Google Pay: 1.75%.
Revolut Pay: 1.08%.
Rapid: 3%.
Paysafecard: 10%.
Skrill: 4.5%.
Neteller: 4.5%.
BTC: 0%</t>
      </text>
    </comment>
    <comment authorId="0" ref="H18">
      <text>
        <t xml:space="preserve">Bank transfer: 2.5% + $1.2.
BTC: 2% + 0.000012 BTC.
ETH, LTC, SOL, USDC ERC20: 2%</t>
      </text>
    </comment>
    <comment authorId="0" ref="F14">
      <text>
        <t xml:space="preserve">No Mercy AK47 = -35%</t>
      </text>
    </comment>
    <comment authorId="0" ref="H14">
      <text>
        <t xml:space="preserve">PayPal: 2%.
BTC: 2$.
ETH: 1$.
LTC: 0.1$.</t>
      </text>
    </comment>
    <comment authorId="0" ref="H10">
      <text>
        <t xml:space="preserve">btc: 0.8$
eth: 0.29$
ltc: 0
trx: 0.27$
usdc sol/spl: 0
usdc eth/erc20: 0.74$
usdt trx/trc20: 4.09$
usdt sol/spl: 0.51$
usdt eth/erc20: 0.79$
xrp: 0.03$</t>
      </text>
    </comment>
    <comment authorId="0" ref="F6">
      <text>
        <t xml:space="preserve">Snowcamo Jacket = -45%
No Mercy AK = -40%</t>
      </text>
    </comment>
    <comment authorId="0" ref="G6">
      <text>
        <t xml:space="preserve">USDT TRC-20, USDT ERC-20, USDT TON, USDT BSC, LTC, ETH, BTC, USDC ERC-20, SOL, USDC BSC: 0%</t>
      </text>
    </comment>
    <comment authorId="0" ref="H6">
      <text>
        <t xml:space="preserve">Credit/Debit cards: 3.5% + 0.5EUR.
USDT TRC-20: 0.4%+2.99$.
USDT ERC-20: 0.4%+0.17$.
USDT BSC: 0.4%+0.99$.
BTC: 0.4%+3.18$.
ETH: 0.4%+0.08$.
BNB: 0.4%+0.68$.
LTC: 0.4%+0.94$.
SOL: 0.4%+1.29$.
USDT TON: 0.4%+0.99$.
USDC ERC-20: 0.4%+0.17$</t>
      </text>
    </comment>
    <comment authorId="0" ref="E2">
      <text>
        <t xml:space="preserve">trade:
8$: 18% (ak no mercy)</t>
      </text>
    </comment>
    <comment authorId="0" ref="F2">
      <text>
        <t xml:space="preserve">Snowcamo Jacket = -51%
No Mercy AK = -50%</t>
      </text>
    </comment>
    <comment authorId="0" ref="G2">
      <text>
        <t xml:space="preserve">Credit/Debit cards: 3%+0.3$. CashApp: 3%+0.3$. Crypto: 1%. Kinguin gift cards: 0%. PIX: 4.7%</t>
      </text>
    </comment>
    <comment authorId="0" ref="H2">
      <text>
        <t xml:space="preserve">PayPal: 2% + 0.25$.
LTC: 0%.
ETH: 0.66$.
Venmo: 2% + 0.25$.
USDT ERC20: 0.66$.
USDC ERC20: 0.66$.
BTC: 0.39$</t>
      </text>
    </comment>
    <comment authorId="0" ref="E23">
      <text>
        <t xml:space="preserve">trade:
5$: 8% (ak slate ft)
55$: 8% (ak redline ft)
200$: 8% (awp asiimov ft)
380$: 8% (ak fuel injector ft)</t>
      </text>
    </comment>
    <comment authorId="0" ref="G23">
      <text>
        <t xml:space="preserve">Credit/Debit cards, PayPal, Kinguin, Revolut, Trustly, Neteller, Skrill, Neosurf, ZEN: 0%</t>
      </text>
    </comment>
    <comment authorId="0" ref="F19">
      <text>
        <t xml:space="preserve">Snowcamo Jacket = -44%
No Mercy AK = -48%</t>
      </text>
    </comment>
    <comment authorId="0" ref="H19">
      <text>
        <t xml:space="preserve">VISA: 1.5% + 1 EUR.
MasterCard: 4% + 2.5 EUR.
PayPal: 4% + 2$.
Skrill: 1%.
Payoneer: 1%.
Bank transfer: 1% + 1 EUR.
BTC, LTC, Tether TRC20&amp;ERC20, TRON, BCH, BNB, ADA, DOGE, USDC ERC20, SOL, USDCS, USDTS, USDTB: 1.5%.
ETH: 1.5% + 10 EUR
</t>
      </text>
    </comment>
    <comment authorId="0" ref="E15">
      <text>
        <t xml:space="preserve">trade:
8$: 13% (ak no mercy)</t>
      </text>
    </comment>
    <comment authorId="0" ref="F15">
      <text>
        <t xml:space="preserve">Snowcamo Jacket = -44%
No Mercy AK = -42%
</t>
      </text>
    </comment>
    <comment authorId="0" ref="G15">
      <text>
        <t xml:space="preserve">BTC, ETH, LTC, SOL, DOGE, Chainlink (erc), USDC (erc), USDT (erc): 2%.
Kinguin gift cards: 5%</t>
      </text>
    </comment>
    <comment authorId="0" ref="H15">
      <text>
        <t xml:space="preserve">PayPal: $1+2%.
BTC: $1.27.
ETH: $0.05.
LTC: $0.01.
USDT (erc): $0.23</t>
      </text>
    </comment>
    <comment authorId="0" ref="F11">
      <text>
        <t xml:space="preserve">Snowcamo Jacket = -61%
No Mercy AK = -61%</t>
      </text>
    </comment>
    <comment authorId="0" ref="G11">
      <text>
        <t xml:space="preserve">MIR, CBL, FK wallet: 1%.
TRON: 0%.
TON: 0%.
ETH: 0%.
BTC: 0%.
USDT: 0%</t>
      </text>
    </comment>
    <comment authorId="0" ref="H11">
      <text>
        <t xml:space="preserve">MIR: 30rub + 1.7%.
CBL: 30rub.
USDT: 1 USDT.
TON: 0.01 TON.
BTC: 0.00025 BTC</t>
      </text>
    </comment>
    <comment authorId="0" ref="F7">
      <text>
        <t xml:space="preserve">Snowcamo Jacket = -42%
No Mercy AK = -36%</t>
      </text>
    </comment>
    <comment authorId="0" ref="G7">
      <text>
        <t xml:space="preserve">CBL: 3%. USDC ERC20, Tether ERC20, Tether BEP20, Tether TRC20, BTC, ETH, BNB, TON, LTC, TRON: 0.5%. RUB: 3%. KZT: 6.5%
</t>
      </text>
    </comment>
    <comment authorId="0" ref="H7">
      <text>
        <t xml:space="preserve">Credit/Debit cards: 3%+. CBL: 1.5%. Bank transfer: 4%. PayPal: 6%. Tether TRC20: 2.5$. Tether BEP20: 0.5$. BNB: 0.5$. Tether ERC20: 2$. ETH: 3$. TRON: 0.5$. LTC: 0.1$. SOL: 0.1$. TON: 1$. Steam: 0.5%. BTC: 5$</t>
      </text>
    </comment>
    <comment authorId="0" ref="G3">
      <text>
        <t xml:space="preserve">Rapid Transfer: 2%+0.13$.
Apple pay: 3.5%+0.25$.
Visa, MasterCard:3.5%+0.25$.
Google Pay: 3.5% +0.25$.
BTC: 2%.
ETH: 2%.
LTC: 2%.
Uphold: 0%.
Tether: 2%.
USDC: 2%.
Skrill: 3.9%+0.13$. Neteller:3.9%+0.13$.
Other Crypto: 2%.
BTC Cash: 2%.
Solana: 2%.
Tron: 2%.
G2A gift card: 0%.
Kinguin: 0%</t>
      </text>
    </comment>
    <comment authorId="0" ref="H3">
      <text>
        <t xml:space="preserve">some options also take fixed cash fee*, see below:
SEPA: 5.75$
Payoneer: 0%
BTC: 1.5%
Tether: 2%
Donate to Ukraine: 0%
ETH: 2%
LTC: 2%
Check: 3.45$
PayPal: 2% +3.3%
uphold: 0.25$
Skrill: 1%
</t>
      </text>
    </comment>
    <comment authorId="0" ref="F24">
      <text>
        <t xml:space="preserve">Snowcamo Jacket = -43%
No Mercy AK = -35%</t>
      </text>
    </comment>
    <comment authorId="0" ref="H24">
      <text>
        <t xml:space="preserve">PayPal: 2%
SEPA: 0%
Revolut: 0%
Bank (PLN): 0%</t>
      </text>
    </comment>
    <comment authorId="0" ref="F20">
      <text>
        <t xml:space="preserve">No Mercy AK47 = -44%</t>
      </text>
    </comment>
    <comment authorId="0" ref="G20">
      <text>
        <t xml:space="preserve">PayPal, blik, Sofort, UnionPay, WeChat, PagSeguro, MB: 0%. Credit/Debit cards: 3% + 0.28$. Skrill, Neteller: 3.36% + 0.33$. Alipay: 3%. BTC, ETH, USDT TRC20, USDT ERC20, BCH, LTC, SOL, USDT TON, USDC ERC20: 0%</t>
      </text>
    </comment>
    <comment authorId="0" ref="H20">
      <text>
        <t xml:space="preserve">MasterCard: 4.2% + $1.15. VISA: 1.5% + 1.15$. SEPA: 0%. Skrill: 1%. Neteller: 2%. BTC: 0.4% + 3.88$. ETH: 0.4% + 0.16$. USDT TRC20: 0.4% + 2.99$. USDT ERC20: 0.4% + 0.38$. BCH: 0.4% + 0.77$. BNB: 0.4% + 0.99$. LTC: 0.4% + 1.06$. SOL: 0.4% + 1.33$. USDC BEP20: 0.4% + 0.99$. USDT BEP20: 0.4% + 0.99$. USDT TON: 0.4% + 0.99$. USDC ERC20: 0.4% + 0.71$.</t>
      </text>
    </comment>
    <comment authorId="0" ref="G16">
      <text>
        <t xml:space="preserve">Unionpay: 0%.
Credit/Debit cards: 0%.
SEPA: 1%.
BTC, LTC, BNB: 2%.
TRON, Tether: 0%.
TON, SOL, Tether SPL, USDC, DAI, ETH, Tether TON, AVAX, BCH, DASH, DOGE, MATIC, XMR: 1%
</t>
      </text>
    </comment>
    <comment authorId="0" ref="H16">
      <text>
        <t xml:space="preserve">Tether PRC20: 1%.
TRON, Tether TRC20: 2%</t>
      </text>
    </comment>
    <comment authorId="0" ref="F12">
      <text>
        <t xml:space="preserve">Snowcamo Jacket = -40%
No Mercy AK = -42%</t>
      </text>
    </comment>
    <comment authorId="0" ref="G12">
      <text>
        <t xml:space="preserve">Credit/Debit cards: 4%. BTC: 1.73$ up to $175, 1% after. LTC, ETH: 1%. USDT TRC20, ERC20: 1.39$ up to $216, 0.65% after.</t>
      </text>
    </comment>
    <comment authorId="0" ref="H12">
      <text>
        <t xml:space="preserve">PayPal, Bank transfer, Venmo: 2.5%. Credit/Debit cards: 2.9%. Revolut: 1.5%. Tether TRC20: 1 EUR/USD + 0.5%. LTC, TRON: 0.5%.</t>
      </text>
    </comment>
    <comment authorId="0" ref="E8">
      <text>
        <t xml:space="preserve">trade:
8$: 14% (ak no mercy)</t>
      </text>
    </comment>
    <comment authorId="0" ref="G8">
      <text>
        <t xml:space="preserve">Credit/Debit cards: 3.9% + $0.39. Crypto: 1%</t>
      </text>
    </comment>
    <comment authorId="0" ref="E4">
      <text>
        <t xml:space="preserve">5$: 10% (ak slate ft)
55$: 8.5% (ak redline ft)
200$: 9% (awp asiimov ft)
700$: 13% (gloves amphibious ft)</t>
      </text>
    </comment>
    <comment authorId="0" ref="G4">
      <text>
        <t xml:space="preserve">Crypto: 0%.
Credit/Debit cards, Alipay, Bancontact, Cash App pay, iDeal, Link, WeChat pay: 2.8%+0.3$
</t>
      </text>
    </comment>
    <comment authorId="0" ref="H4">
      <text>
        <t xml:space="preserve">Bank, Crypto: 2%.
Balance, Credit/Debit Card: 0%</t>
      </text>
    </comment>
    <comment authorId="0" ref="E21">
      <text>
        <t xml:space="preserve">trade:
8$: 5% (ak no mercy)</t>
      </text>
    </comment>
    <comment authorId="0" ref="G21">
      <text>
        <t xml:space="preserve">Coinbase, Cryptomus, Credit/Debit cards, Google Pay, Apple Pay, ZEN, Skrill, Klarna, Qivi, Poli, Paysafecard: 0%</t>
      </text>
    </comment>
    <comment authorId="0" ref="F17">
      <text>
        <t xml:space="preserve">Snowcamo Jacket = -33%
No Mercy AK = -34%</t>
      </text>
    </comment>
    <comment authorId="0" ref="G17">
      <text>
        <t xml:space="preserve">Credit/Debit cards, Google Pay, Apple Pay, Skrill, Trustly: 0%.
BTC: $1.57 up to $150 amount, 1% afterwards.
LTC, ETH: 1%.
Tether TRC20: $2.64 up to $330 amount, 0.8% afterwards.
Tether ERC20: 1%</t>
      </text>
    </comment>
    <comment authorId="0" ref="H17">
      <text>
        <t xml:space="preserve">BNB, BTC, ETH, LTC, Tether ERC20, TRC20: 5%
bank transfer: 5%</t>
      </text>
    </comment>
    <comment authorId="0" ref="F13">
      <text>
        <t xml:space="preserve">Snowcamo Jacket = -59%
No Mercy AK = -47%</t>
      </text>
    </comment>
    <comment authorId="0" ref="H13">
      <text>
        <t xml:space="preserve">PayPal, Bank transfer: 2.5%.
Revolut: 1.5%.
Tether TRC20: 1 EUR/USD + 0.5%.
LTC, TRON: 0.5%.
BTC: 14 EUR/USD + 0.5%.
ETH: 5 EUR/USD + 0.5%</t>
      </text>
    </comment>
    <comment authorId="0" ref="G9">
      <text>
        <t xml:space="preserve">Credit/Debit cards, Apple Pay, Google Pay:100$ has 3.94% fee, lower for higher amounts. BTC, LTC, ETH, USDT, USDC, Tron: 4%. Skrill, UnionPay, BTC, Neosurf, Sofort, Neteller, Trustly, Bancontact, ZEN: 4%
</t>
      </text>
    </comment>
    <comment authorId="0" ref="H9">
      <text>
        <t xml:space="preserve">Payoneer: 3$.
Gift cards: 0%.
PayPal: 2.75% +0.5$.
BTC lightning: 10%.
Venmo: 2.75%.
Bank transfer: 26$ (15$ for US).
PayPal (tipalti): $1 + 2% up to $21($2 for US).
Check: 2$.
Mastercard (US): 0%.
Debit card (US): 2.75%.
Cash app: 2.75%.
Zelle: 2.75%.
USDT ERC20: 5% + 5$</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Credit/Debit cards: 1.75%.
Bank transfer: 0.5%.
Apple Pay: 1.75%.
PayPal: 3.8%.
Google Pay: 1.75%.
Revolut Pay: 1.08%.
Rapid: 3%.
Paysafecard: 10%.
Skrill: 4.5%.
Neteller: 4.5%.
BTC: 0%</t>
      </text>
    </comment>
    <comment authorId="0" ref="E5">
      <text>
        <t xml:space="preserve">tf2 keys</t>
      </text>
    </comment>
    <comment authorId="0" ref="H7">
      <text>
        <t xml:space="preserve">Bank transfer: 2.5% + $1.2.
BTC: 2% + 0.000012 BTC.
ETH, LTC, SOL, USDC ERC20: 2%</t>
      </text>
    </comment>
    <comment authorId="0" ref="G5">
      <text>
        <t xml:space="preserve">Crypto: 0%.
Credit/Debit cards, Alipay, Bancontact, Cash App pay, iDeal, Link, WeChat pay: 2.8%+0.3$
</t>
      </text>
    </comment>
    <comment authorId="0" ref="C1">
      <text>
        <t xml:space="preserve">either disclosed "cut" that site takes from a purchase (only known if site discloses it)
or trade mode margin (difference between the item in site stock price vs cheapest Steam market price) &lt;- only applicable to bot trading sites
or store margin (basically same as trade mode but you can't trade your skins, only buy skins from the site itself) &lt;- only applicable to "Store" sites</t>
      </text>
    </comment>
    <comment authorId="0" ref="D1">
      <text>
        <t xml:space="preserve">site's cut for the sale sum of your item
or trade mode margin (difference between your item in site price vs cheapest Steam market price) &lt;- only applicable to bot trading sites</t>
      </text>
    </comment>
    <comment authorId="0" ref="H5">
      <text>
        <t xml:space="preserve">Bank, Crypto: 2%.
Balance, Credit/Debit Card: 0%</t>
      </text>
    </comment>
    <comment authorId="0" ref="G3">
      <text>
        <t xml:space="preserve">Visa, Mastercard, Apple Pay, PayPal: 0%</t>
      </text>
    </comment>
    <comment authorId="0" ref="E1">
      <text>
        <t xml:space="preserve">change between the same item priced on your inventory in site (how much the site itself values it to buy from you) and site's stock of the same item (how much the site sells the same item for)
only applicable to bot trading sites</t>
      </text>
    </comment>
    <comment authorId="0" ref="F1">
      <text>
        <t xml:space="preserve">insta sell fee = how much less the site pays compared to the Steam market price (the closer % to 0, the better value it is)</t>
      </text>
    </comment>
    <comment authorId="0" ref="H3">
      <text>
        <t xml:space="preserve">SEPA: 0%</t>
      </text>
    </comment>
    <comment authorId="0" ref="E22">
      <text>
        <t xml:space="preserve">trade:
3$: 56% (tf2 keys)</t>
      </text>
    </comment>
    <comment authorId="0" ref="E18">
      <text>
        <t xml:space="preserve">trade:
3$: 5% (tf2 keys)</t>
      </text>
    </comment>
    <comment authorId="0" ref="E16">
      <text>
        <t xml:space="preserve">trade:
3$: 5% (tf2 keys)</t>
      </text>
    </comment>
    <comment authorId="0" ref="G18">
      <text>
        <t xml:space="preserve">Credit/Debit cards, PayPal, Kinguin, Revolut, Trustly, Neteller, Skrill, Neosurf, ZEN: 0%</t>
      </text>
    </comment>
    <comment authorId="0" ref="G16">
      <text>
        <t xml:space="preserve">Coinbase, Cryptomus, Credit/Debit cards, Google Pay, Apple Pay, ZEN, Skrill, Klarna, Qivi, Poli, Paysafecard: 0%</t>
      </text>
    </comment>
    <comment authorId="0" ref="G14">
      <text>
        <t xml:space="preserve">Credit/Debit cards, PayPal, Cash App, Afterpay, Crypto: 0%</t>
      </text>
    </comment>
    <comment authorId="0" ref="H14">
      <text>
        <t xml:space="preserve">PayPal: 2%
Crypto: 1%</t>
      </text>
    </comment>
    <comment authorId="0" ref="F10">
      <text>
        <t xml:space="preserve">tf2 keys</t>
      </text>
    </comment>
    <comment authorId="0" ref="H12">
      <text>
        <t xml:space="preserve">btc: 0.8$
eth: 0.29$
ltc: 0
trx: 0.27$
usdc sol/spl: 0
usdc eth/erc20: 0.74$
usdt trx/trc20: 4.09$
usdt sol/spl: 0.51$
usdt eth/erc20: 0.79$
xrp: 0.03$</t>
      </text>
    </comment>
    <comment authorId="0" ref="F8">
      <text>
        <t xml:space="preserve">tf2 keys</t>
      </text>
    </comment>
    <comment authorId="0" ref="H10">
      <text>
        <t xml:space="preserve">VISA: 1.5% + 1 EUR.
MasterCard: 4% + 2.5 EUR.
PayPal: 4% + 2$.
Skrill: 1%.
Payoneer: 1%.
Bank transfer: 1% + 1 EUR.
BTC, LTC, Tether TRC20&amp;ERC20, TRON, BCH, BNB, ADA, DOGE, USDC ERC20, SOL, USDCS, USDTS, USDTB: 1.5%.
ETH: 1.5% + 10 EUR
</t>
      </text>
    </comment>
    <comment authorId="0" ref="F6">
      <text>
        <t xml:space="preserve">tf2 keys</t>
      </text>
    </comment>
    <comment authorId="0" ref="H8">
      <text>
        <t xml:space="preserve">PayPal, Bank transfer: 2.5%.
Revolut: 1.5%.
Tether TRC20: 1 EUR/USD + 0.5%.
LTC, TRON: 0.5%.
BTC: 14 EUR/USD + 0.5%.
ETH: 5 EUR/USD + 0.5%</t>
      </text>
    </comment>
    <comment authorId="0" ref="G6">
      <text>
        <t xml:space="preserve">CBL: 3%. USDC ERC20, Tether ERC20, Tether BEP20, Tether TRC20, BTC, ETH, BNB, TON, LTC, TRON: 0.5%. RUB: 3%. KZT: 6.5%
</t>
      </text>
    </comment>
    <comment authorId="0" ref="H6">
      <text>
        <t xml:space="preserve">Credit/Debit cards: 3%+. CBL: 1.5%. Bank transfer: 4%. PayPal: 6%. Tether TRC20: 2.5$. Tether BEP20: 0.5$. BNB: 0.5$. Tether ERC20: 2$. ETH: 3$. TRON: 0.5$. LTC: 0.1$. SOL: 0.1$. TON: 1$. Steam: 0.5%. BTC: 5$</t>
      </text>
    </comment>
    <comment authorId="0" ref="G4">
      <text>
        <t xml:space="preserve">Rapid Transfer: 2%+0.13$.
Apple pay: 3.5%+0.25$.
Visa, MasterCard:3.5%+0.25$.
Google Pay: 3.5% +0.25$.
BTC: 2%.
ETH: 2%.
LTC: 2%.
Uphold: 0%.
Tether: 2%.
USDC: 2%.
Skrill: 3.9%+0.13$. Neteller:3.9%+0.13$.
Other Crypto: 2%.
BTC Cash: 2%.
Solana: 2%.
Tron: 2%.
G2A gift card: 0%.
Kinguin: 0%</t>
      </text>
    </comment>
    <comment authorId="0" ref="H4">
      <text>
        <t xml:space="preserve">some options also take fixed cash fee*, see below:
SEPA: 5.75$
Payoneer: 0%
BTC: 1.5%
Tether: 2%
Donate to Ukraine: 0%
ETH: 2%
LTC: 2%
Check: 3.45$
PayPal: 2% +3.3%
uphold: 0.25$
Skrill: 1%
</t>
      </text>
    </comment>
    <comment authorId="0" ref="G2">
      <text>
        <t xml:space="preserve">Credit/Debit cards, Apple Pay, Google Pay:100$ has 3.94% fee, lower for higher amounts. BTC, LTC, ETH, USDT, USDC, Tron: 4%. Skrill, UnionPay, BTC, Neosurf, Sofort, Neteller, Trustly, Bancontact, ZEN: 4%
</t>
      </text>
    </comment>
    <comment authorId="0" ref="H2">
      <text>
        <t xml:space="preserve">Payoneer: 3$.
Gift cards: 0%.
PayPal: 2.75% +0.5$.
BTC lightning: 10%.
Venmo: 2.75%.
Bank transfer: 26$ (15$ for US).
PayPal (tipalti): $1 + 2% up to $21($2 for US).
Check: 2$.
Mastercard (US): 0%.
Debit card (US): 2.75%.
Cash app: 2.75%.
Zelle: 2.75%.
USDT ERC20: 5% + 5$</t>
      </text>
    </comment>
    <comment authorId="0" ref="E15">
      <text>
        <t xml:space="preserve">trade:
3$: 37% (tf2 keys)</t>
      </text>
    </comment>
    <comment authorId="0" ref="F15">
      <text>
        <t xml:space="preserve">tf2 keys</t>
      </text>
    </comment>
    <comment authorId="0" ref="E13">
      <text>
        <t xml:space="preserve">trade:
3$: 6% (tf2 keys)</t>
      </text>
    </comment>
    <comment authorId="0" ref="G15">
      <text>
        <t xml:space="preserve">Credit/Debit cards, PayPal, Payop, Neosurf, Skrill, Bank transfer, ZEN, Crypto, PayDo, Revolut: 0%</t>
      </text>
    </comment>
    <comment authorId="0" ref="F13">
      <text>
        <t xml:space="preserve">tf2 keys</t>
      </text>
    </comment>
    <comment authorId="0" ref="H15">
      <text>
        <t xml:space="preserve">SEPA, BTC, ETH, LTC, TRON, SOL, DOGE: 0%</t>
      </text>
    </comment>
    <comment authorId="0" ref="G13">
      <text>
        <t xml:space="preserve">Credit/Debit cards: 3% + $0.25.
BTC, ETH, LTC, USDC ERC20, USDT ERC20: 0%</t>
      </text>
    </comment>
    <comment authorId="0" ref="F11">
      <text>
        <t xml:space="preserve">tf2 keys</t>
      </text>
    </comment>
    <comment authorId="0" ref="H13">
      <text>
        <t xml:space="preserve">BTC, ETH, USDC ERC20, USDT ERC20: $0.09
 LTC: 0%.
PayPal: 2% + $0.25</t>
      </text>
    </comment>
    <comment authorId="0" ref="D7">
      <text>
        <t xml:space="preserve">tf2 keys: 5%
rest: 2%</t>
      </text>
    </comment>
    <comment authorId="0" ref="H11">
      <text>
        <t xml:space="preserve">PayPal: 2%.
BTC: 2$.
ETH: 1$.
LTC: 0.1$.</t>
      </text>
    </comment>
    <comment authorId="0" ref="G9">
      <text>
        <t xml:space="preserve">Unionpay: 0%.
Credit/Debit cards: 0%.
SEPA: 1%.
BTC, LTC, BNB: 2%.
TRON, Tether: 0%.
TON, SOL, Tether SPL, USDC, DAI, ETH, Tether TON, AVAX, BCH, DASH, DOGE, MATIC, XMR: 1%
</t>
      </text>
    </comment>
    <comment authorId="0" ref="H9">
      <text>
        <t xml:space="preserve">Tether PRC20: 1%.
TRON, Tether TRC20: 2%</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MIR, CBL, FK wallet: 1%.
TRON: 0%.
TON: 0%.
ETH: 0%.
BTC: 0%.
USDT: 0%</t>
      </text>
    </comment>
    <comment authorId="0" ref="H7">
      <text>
        <t xml:space="preserve">MIR: 30rub + 1.7%.
CBL: 30rub.
USDT: 1 USDT.
TON: 0.01 TON.
BTC: 0.00025 BTC</t>
      </text>
    </comment>
    <comment authorId="0" ref="G5">
      <text>
        <t xml:space="preserve">Rapid Transfer: 2%+0.13$.
Apple pay: 3.5%+0.25$.
Visa, MasterCard:3.5%+0.25$.
Google Pay: 3.5% +0.25$.
BTC: 2%.
ETH: 2%.
LTC: 2%.
Uphold: 0%.
Tether: 2%.
USDC: 2%.
Skrill: 3.9%+0.13$. Neteller:3.9%+0.13$.
Other Crypto: 2%.
BTC Cash: 2%.
Solana: 2%.
Tron: 2%.
G2A gift card: 0%.
Kinguin: 0%</t>
      </text>
    </comment>
    <comment authorId="0" ref="C1">
      <text>
        <t xml:space="preserve">either disclosed "cut" that site takes from a purchase (only known if site discloses it)
or trade bot fees (difference between the same item price your inventory vs their inventory)</t>
      </text>
    </comment>
    <comment authorId="0" ref="D1">
      <text>
        <t xml:space="preserve">site's cut for the sale sum of your item</t>
      </text>
    </comment>
    <comment authorId="0" ref="H5">
      <text>
        <t xml:space="preserve">some options also take fixed cash fee*, see below:
SEPA: 5.75$
Payoneer: 0%
BTC: 1.5%
Tether: 2%
Donate to Ukraine: 0%
ETH: 2%
LTC: 2%
Check: 3.45$
PayPal: 2% +3.3%
uphold: 0.25$
Skrill: 1%
</t>
      </text>
    </comment>
    <comment authorId="0" ref="G3">
      <text>
        <t xml:space="preserve">USDT TRC-20, USDT ERC-20, USDT TON, USDT BSC, LTC, ETH, BTC, USDC ERC-20, SOL, USDC BSC: 0%</t>
      </text>
    </comment>
    <comment authorId="0" ref="E1">
      <text>
        <t xml:space="preserve">change between the same item priced on your inventory (how much the site itself values it) and site's stock</t>
      </text>
    </comment>
    <comment authorId="0" ref="F1">
      <text>
        <t xml:space="preserve">insta sell fee = price margin compared to cheapest buff prices</t>
      </text>
    </comment>
    <comment authorId="0" ref="H3">
      <text>
        <t xml:space="preserve">Credit/Debit cards: 3.5% + 0.5EUR.
USDT TRC-20: 0.4%+2.99$.
USDT ERC-20: 0.4%+0.17$.
USDT BSC: 0.4%+0.99$.
BTC: 0.4%+3.18$.
ETH: 0.4%+0.08$.
BNB: 0.4%+0.68$.
LTC: 0.4%+0.94$.
SOL: 0.4%+1.29$.
USDT TON: 0.4%+0.99$.
USDC ERC-20: 0.4%+0.17$</t>
      </text>
    </comment>
    <comment authorId="0" ref="H14">
      <text>
        <t xml:space="preserve">PayPal: 2%.
BTC: 2$.
ETH: 1$.
LTC: 0.1$.</t>
      </text>
    </comment>
    <comment authorId="0" ref="G12">
      <text>
        <t xml:space="preserve">Credit/Debit cards: 1.75%.
Bank transfer: 0.5%.
Apple Pay: 1.75%.
PayPal: 3.8%.
Google Pay: 1.75%.
Revolut Pay: 1.08%.
Rapid: 3%.
Paysafecard: 10%.
Skrill: 4.5%.
Neteller: 4.5%.
BTC: 0%</t>
      </text>
    </comment>
    <comment authorId="0" ref="H12">
      <text>
        <t xml:space="preserve">Bank transfer: 2.5% + $1.2.
BTC: 2% + 0.000012 BTC.
ETH, LTC, SOL, USDC ERC20: 2%</t>
      </text>
    </comment>
    <comment authorId="0" ref="G10">
      <text>
        <t xml:space="preserve">Unionpay: 0%.
Credit/Debit cards: 0%.
SEPA: 1%.
BTC, LTC, BNB: 2%.
TRON, Tether: 0%.
TON, SOL, Tether SPL, USDC, DAI, ETH, Tether TON, AVAX, BCH, DASH, DOGE, MATIC, XMR: 1%
</t>
      </text>
    </comment>
    <comment authorId="0" ref="H10">
      <text>
        <t xml:space="preserve">Tether PRC20: 1%.
TRON, Tether TRC20: 2%</t>
      </text>
    </comment>
    <comment authorId="0" ref="G8">
      <text>
        <t xml:space="preserve">Credit/Debit cards: 4%. BTC: 1.73$ up to $175, 1% after. LTC, ETH: 1%. USDT TRC20, ERC20: 1.39$ up to $216, 0.65% after.</t>
      </text>
    </comment>
    <comment authorId="0" ref="H8">
      <text>
        <t xml:space="preserve">PayPal, Bank transfer, Venmo: 2.5%. Credit/Debit cards: 2.9%. Revolut: 1.5%. Tether TRC20: 1 EUR/USD + 0.5%. LTC, TRON: 0.5%.</t>
      </text>
    </comment>
    <comment authorId="0" ref="G6">
      <text>
        <t xml:space="preserve">Credit/Debit cards, Apple Pay, Google Pay:100$ has 3.94% fee, lower for higher amounts. BTC, LTC, ETH, USDT, USDC, Tron: 4%. Skrill, UnionPay, BTC, Neosurf, Sofort, Neteller, Trustly, Bancontact, ZEN: 4%
</t>
      </text>
    </comment>
    <comment authorId="0" ref="H6">
      <text>
        <t xml:space="preserve">Payoneer: 3$.
Gift cards: 0%.
PayPal: 2.75% +0.5$.
BTC lightning: 10%.
Venmo: 2.75%.
Bank transfer: 26$ (15$ for US).
PayPal (tipalti): $1 + 2% up to $21($2 for US).
Check: 2$.
Mastercard (US): 0%.
Debit card (US): 2.75%.
Cash app: 2.75%.
Zelle: 2.75%.
USDT ERC20: 5% + 5$</t>
      </text>
    </comment>
    <comment authorId="0" ref="G4">
      <text>
        <t xml:space="preserve">CBL: 3%. USDC ERC20, Tether ERC20, Tether BEP20, Tether TRC20, BTC, ETH, BNB, TON, LTC, TRON: 0.5%. RUB: 3%. KZT: 6.5%
</t>
      </text>
    </comment>
    <comment authorId="0" ref="H4">
      <text>
        <t xml:space="preserve">Credit/Debit cards: 3%+. CBL: 1.5%. Bank transfer: 4%. PayPal: 6%. Tether TRC20: 2.5$. Tether BEP20: 0.5$. BNB: 0.5$. Tether ERC20: 2$. ETH: 3$. TRON: 0.5$. LTC: 0.1$. SOL: 0.1$. TON: 1$. Steam: 0.5%. BTC: 5$</t>
      </text>
    </comment>
    <comment authorId="0" ref="G2">
      <text>
        <t xml:space="preserve">Visa, Mastercard, Apple Pay, PayPal: 0%</t>
      </text>
    </comment>
    <comment authorId="0" ref="H2">
      <text>
        <t xml:space="preserve">SEPA: 0%</t>
      </text>
    </comment>
    <comment authorId="0" ref="E19">
      <text>
        <t xml:space="preserve">trade:
5$: 8% (ak slate ft)
55$: 8% (ak redline ft)
200$: 8% (awp asiimov ft)
380$: 8% (ak fuel injector ft)</t>
      </text>
    </comment>
    <comment authorId="0" ref="E17">
      <text>
        <t xml:space="preserve">trade:
5$: 10% (ak slate ft)
130$: 5% (awp containment breach ft)</t>
      </text>
    </comment>
    <comment authorId="0" ref="G19">
      <text>
        <t xml:space="preserve">Credit/Debit cards, PayPal, Kinguin, Revolut, Trustly, Neteller, Skrill, Neosurf, ZEN: 0%</t>
      </text>
    </comment>
    <comment authorId="0" ref="G17">
      <text>
        <t xml:space="preserve">Coinbase, Cryptomus, Credit/Debit cards, Google Pay, Apple Pay, ZEN, Skrill, Klarna, Qivi, Poli, Paysafecard: 0%</t>
      </text>
    </comment>
    <comment authorId="0" ref="G15">
      <text>
        <t xml:space="preserve">PayPal, blik, Sofort, UnionPay, WeChat, PagSeguro, MB: 0%. Credit/Debit cards: 3% + 0.28$. Skrill, Neteller: 3.36% + 0.33$. Alipay: 3%. BTC, ETH, USDT TRC20, USDT ERC20, BCH, LTC, SOL, USDT TON, USDC ERC20: 0%</t>
      </text>
    </comment>
    <comment authorId="0" ref="H15">
      <text>
        <t xml:space="preserve">MasterCard: 4.2% + $1.15. VISA: 1.5% + 1.15$. SEPA: 0%. Skrill: 1%. Neteller: 2%. BTC: 0.4% + 3.88$. ETH: 0.4% + 0.16$. USDT TRC20: 0.4% + 2.99$. USDT ERC20: 0.4% + 0.38$. BCH: 0.4% + 0.77$. BNB: 0.4% + 0.99$. LTC: 0.4% + 1.06$. SOL: 0.4% + 1.33$. USDC BEP20: 0.4% + 0.99$. USDT BEP20: 0.4% + 0.99$. USDT TON: 0.4% + 0.99$. USDC ERC20: 0.4% + 0.71$.</t>
      </text>
    </comment>
    <comment authorId="0" ref="H13">
      <text>
        <t xml:space="preserve">VISA: 1.5% + 1 EUR.
MasterCard: 4% + 2.5 EUR.
PayPal: 4% + 2$.
Skrill: 1%.
Payoneer: 1%.
Bank transfer: 1% + 1 EUR.
BTC, LTC, Tether TRC20&amp;ERC20, TRON, BCH, BNB, ADA, DOGE, USDC ERC20, SOL, USDCS, USDTS, USDTB: 1.5%.
ETH: 1.5% + 10 EUR
</t>
      </text>
    </comment>
    <comment authorId="0" ref="G11">
      <text>
        <t xml:space="preserve">Credit/Debit cards, Google Pay, Apple Pay, Skrill, Trustly: 0%.
BTC: $1.57 up to $150 amount, 1% afterwards.
LTC, ETH: 1%.
Tether TRC20: $2.64 up to $330 amount, 0.8% afterwards.
Tether ERC20: 1%</t>
      </text>
    </comment>
    <comment authorId="0" ref="H11">
      <text>
        <t xml:space="preserve">BNB, BTC, ETH, LTC, Tether ERC20, TRC20: 5%
bank transfer: 5%</t>
      </text>
    </comment>
    <comment authorId="0" ref="H9">
      <text>
        <t xml:space="preserve">PayPal, Bank transfer: 2.5%.
Revolut: 1.5%.
Tether TRC20: 1 EUR/USD + 0.5%.
LTC, TRON: 0.5%.
BTC: 14 EUR/USD + 0.5%.
ETH: 5 EUR/USD + 0.5%</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either disclosed "cut" that site takes from a purchase (only known if site discloses it)
or trade bot fees (difference between the same item price your inventory vs their inventory)</t>
      </text>
    </comment>
    <comment authorId="0" ref="D1">
      <text>
        <t xml:space="preserve">site's cut for the sale sum of your item</t>
      </text>
    </comment>
    <comment authorId="0" ref="E1">
      <text>
        <t xml:space="preserve">insta sell = what % of Steam market value the site pays for a skin</t>
      </text>
    </comment>
    <comment authorId="0" ref="G34">
      <text>
        <t xml:space="preserve">bank card: 3% + $1.3 for  &lt;65$, 5$ for &gt;65$
steam: 5%
paypal: 5%
sepa: 5.5% + $3.6 or 6%
btc: 0.3% + 12.85$ for &lt;274$, 5% for &gt;274%
eth: 0.3% + $1.09 for &lt;24$, 5% for &gt;24$
tether erc20: 0.3% + 2.7$ for &lt;58$, 5% for &gt;58$
tether trc20: 0.3% + 3.2$ for &lt;69$, 5% for &gt;69$
tron: 2% + 0.07$ for &lt;3$, 5% for &gt;3$</t>
      </text>
    </comment>
    <comment authorId="0" ref="E26">
      <text>
        <t xml:space="preserve">low: 59% (ak slate ft)
mid: 58% (ak redline ft)
high-mid: 57% (awp asiimov ft)
high: 51% (gloves amphibious bs)
avg 56%</t>
      </text>
    </comment>
    <comment authorId="0" ref="F18">
      <text>
        <t xml:space="preserve">credit cards, apple pay, google pay: depends on the amount, decreases for higher sums. 100$ has 3.94$ fee
crypto: 1%
paypal: 1%
skrill, unionpay, btc, neosurf, sofort, neteller, trustly, bancontact, zen wallet: 4%
</t>
      </text>
    </comment>
    <comment authorId="0" ref="G51">
      <text>
        <t xml:space="preserve">ZEN: up to 3.17% for 100$ deposit.
Credit/Debit cards: 2.7% + $0.30.
BTC, ETH, LTC: 0%. BNB: 0.5%</t>
      </text>
    </comment>
    <comment authorId="0" ref="G18">
      <text>
        <t xml:space="preserve">payoneer: 3$
gift cards: 0%
paypal: 2.75% +0.5$
bitcoin lightning: 10%
venmo: 2.75%
bank transfer: 26$ (15$ for US)
paypal (tipalti): $1 + 2% up to $21($2 for US)
check: 2$
mastercard (US): free
debit card (US): 2.75%
cash app: 2.75%
zelle: 2.75%
usdt erc20: 5% + 5$</t>
      </text>
    </comment>
    <comment authorId="0" ref="H51">
      <text>
        <t xml:space="preserve">BTC: 25$+4%.
LTC: 1$+4%.
BNB: 1%.
VISA: 3% + $1.1</t>
      </text>
    </comment>
    <comment authorId="0" ref="E43">
      <text>
        <t xml:space="preserve">low: 73% (ak slate ft)
mid: 72% (ak redline ft)
high-mid: 71% (awp asiimov ft)
high: 63% (gloves amphibious bs)
avg 70%</t>
      </text>
    </comment>
    <comment authorId="0" ref="F10">
      <text>
        <t xml:space="preserve">credit cards: 3% + provider fee
crypto: 0%</t>
      </text>
    </comment>
    <comment authorId="0" ref="G43">
      <text>
        <t xml:space="preserve">usdt bnb: 0.1$
usdt eth: 2$
usdt ton: 0.1$
usdt tron: 2.5$
ltc: 0$
eth bnb: 0.1$
eth: 1$
solana: 0$
bnb: 0.1$
ton: 0.1$
btc: 10$
btc bnb: 0.1$
tron: 1$
visa mir: 3.5% + 10₽</t>
      </text>
    </comment>
    <comment authorId="0" ref="G10">
      <text>
        <t xml:space="preserve">whitebit code: 0%
btc, eth, usdc, tether: 1%</t>
      </text>
    </comment>
    <comment authorId="0" ref="C2">
      <text>
        <t xml:space="preserve">5$: 10% (ak slate ft)
55$: 8.5% (ak redline ft)
200$: 9% (awp asiimov ft)
700$: 13% (gloves amphibious ft)</t>
      </text>
    </comment>
    <comment authorId="0" ref="E2">
      <text>
        <t xml:space="preserve">low: 61% (ak slate ft)
mid: 60% (ak redline ft)
high-mid: 61% (awp asiimov ft)
high: 55% (gloves amphibious bs)
avg 59%</t>
      </text>
    </comment>
    <comment authorId="0" ref="F35">
      <text>
        <t xml:space="preserve">bank transfer (sepa/swift): free
klarna: 5%
credit card: 5% + 0.35 EUR
ideal: 5%</t>
      </text>
    </comment>
    <comment authorId="0" ref="F2">
      <text>
        <t xml:space="preserve">crypto: 0%
cards, alipay, bancontact, cash app pay, ideal, link, wechat pay: 3.1%
</t>
      </text>
    </comment>
    <comment authorId="0" ref="G2">
      <text>
        <t xml:space="preserve">2% for bank/crypto
0% for balance/card</t>
      </text>
    </comment>
    <comment authorId="0" ref="F27">
      <text>
        <t xml:space="preserve">SimPay, Multi Game Cards, BTC, LTC, BCC, BCH, DASH, ETC, ETH, LSK, Kinguin, Cryptomus, G2A: 0%</t>
      </text>
    </comment>
    <comment authorId="0" ref="F19">
      <text>
        <t xml:space="preserve">unionpay: 0%
cards: 0%
sepa: 1%
btc, ltc, binance coin: 2%
tron, tether: 0%
ton, solana, tether spl, usdc, dai, eth, tether ton, avax, bch, dash, doge, matic, xmr: 1%
</t>
      </text>
    </comment>
    <comment authorId="0" ref="G19">
      <text>
        <t xml:space="preserve">tether prc20: 1%
tron, tether trc20: 2%</t>
      </text>
    </comment>
    <comment authorId="0" ref="E44">
      <text>
        <t xml:space="preserve">low: 70% (ak slate ft)
mid: 68% (ak redline ft)
high-mid: 68% (awp asiimov ft)
high: 60% (gloves amphibious bs)
avg 67%</t>
      </text>
    </comment>
    <comment authorId="0" ref="E11">
      <text>
        <t xml:space="preserve">low: 65% (ak slate ft)
mid: 63% (ak redline ft)
high-mid: 60% (awp asiimov ft)
high-mid: 58% (ak fuel injector ft)
avg 62%</t>
      </text>
    </comment>
    <comment authorId="0" ref="G44">
      <text>
        <t xml:space="preserve">USDT trc20: $2.5
blink: $0.1
eth: $7
btc: $3
usdc erc20: $7
usdt erc20: $7
usdt bep20: $0.1</t>
      </text>
    </comment>
    <comment authorId="0" ref="G11">
      <text>
        <t xml:space="preserve">paypal: 2%
btc: 4$
eth: 2$
ltc: 0.1$</t>
      </text>
    </comment>
    <comment authorId="0" ref="F3">
      <text>
        <t xml:space="preserve">rapid transfer: 2%+0.13$
apple pay: 3.5%+0.25$
visa, mastercard:3.5%+0.25$
google pay: 3.5% +0.25$
btc: 2%
eth: 2%
ltc: 2%
uphold: 0%
tether: 2%
usdc: 2%
skrill: 3.9%+0.13$
neteller:3.9%+0.13$
other crypto: 2%
btc cash: 2%
solana: 2%
tron: 2%
g2a gift card: 0%
kinguin: 0%</t>
      </text>
    </comment>
    <comment authorId="0" ref="G36">
      <text>
        <t xml:space="preserve">Credit/Debit cards: 0% for EUR, other currencies can experience conversion fees</t>
      </text>
    </comment>
    <comment authorId="0" ref="G3">
      <text>
        <t xml:space="preserve">some options also take fixed cash fee*, see below:
SEPA: 5.75$
Payoneer: 0%
BTC: 1.5%
Tether: 2%
Donate to Ukraine: 0%
ETH: 2%
LTC: 2%
Check: 3.45$
PayPal: 2% +3.3%
uphold: 0.25$
Skrill: 1%
</t>
      </text>
    </comment>
    <comment authorId="0" ref="H36">
      <text>
        <t xml:space="preserve">EUR bank: 0%
CZK, HUF, RON: 3%
other currencies: 1.2%</t>
      </text>
    </comment>
    <comment authorId="0" ref="G28">
      <text>
        <t xml:space="preserve">eth: 0.0003$ + gas fee
btc: 00027129$ + gas fee
tether eth: 3.9$ + gas fee
tether tron: 0.85$ + gas fee
ltc: 0$ + gas fee</t>
      </text>
    </comment>
    <comment authorId="0" ref="F20">
      <text>
        <t xml:space="preserve">zen: up to 3.17% for 100$ deposit
credit/debit card: 2.7% + $0.30
btc, eth, ltc: 0%
bnb: 0.5%</t>
      </text>
    </comment>
    <comment authorId="0" ref="G53">
      <text>
        <t xml:space="preserve">Credit/Debit cards, Sofort, Neosurf, blik, WeChat Pay, UnionPay: 0%</t>
      </text>
    </comment>
    <comment authorId="0" ref="G20">
      <text>
        <t xml:space="preserve">btc: 25$+4%
ltc: 1$+4%
bnb: 1%
visa: 3% + $1.1</t>
      </text>
    </comment>
    <comment authorId="0" ref="E45">
      <text>
        <t xml:space="preserve">low: 69% (ak slate ft)
mid: 58% (ak redline ft)
high-mid: 58% (awp asiimov ft)
high: 56% (gloves amphibious bs)
avg %</t>
      </text>
    </comment>
    <comment authorId="0" ref="E12">
      <text>
        <t xml:space="preserve">low: 65% (ak slate ft)
mid: 65% (ak redline ft)
high-mid: 63% (awp asiimov ft)
high: 58% (gloves amphibious bs)
avg 63%</t>
      </text>
    </comment>
    <comment authorId="0" ref="G45">
      <text>
        <t xml:space="preserve">LTC: 0.5$
ETH, USDT TRC20, USDT ERC20: 7$</t>
      </text>
    </comment>
    <comment authorId="0" ref="G12">
      <text>
        <t xml:space="preserve">paypal: 2.5%
bank transfer: 2.5%
revolut: 1.5%
tether trc20: 1 EUR/USD + 0.5%
ltc: 0.5%
tron: 0.5%
btc: 14 EUR/USD + 0.5%
eth: 5 EUR/USD + 0.5%</t>
      </text>
    </comment>
    <comment authorId="0" ref="E37">
      <text>
        <t xml:space="preserve">low: 76% (ak slate ft)
mid: 74% (ak redline ft)
high-mid: 73% (awp asiimov ft)
high: 65% (gloves amphibious bs)
avg 72%</t>
      </text>
    </comment>
    <comment authorId="0" ref="E4">
      <text>
        <t xml:space="preserve">trade:
5$: 11.5% (ak slate ft)
55$: 6.5% (ak redline ft)
200$: 11% (awp asiimov ft)
700$: 16% (gloves amphibious ft)</t>
      </text>
    </comment>
    <comment authorId="0" ref="F4">
      <text>
        <t xml:space="preserve">low: -15% (galil eco ft)
mid: -15% (ak redline ft)
high-mid: -15% (awp asiimov ft)
high: -15% (butterfly crimson ft)
avg -15%</t>
      </text>
    </comment>
    <comment authorId="0" ref="G37">
      <text>
        <t xml:space="preserve">mastercard: 4.04% + 0.2$
visa: 1.51% + 1.04$
sepa: 0%
skrill: 1.01%
neteller: 2.02%</t>
      </text>
    </comment>
    <comment authorId="0" ref="G4">
      <text>
        <t xml:space="preserve">Visa, Mastercard, Apple Pay, Google Pay, Kinguin, Tether, ETH, BTC: 0%</t>
      </text>
    </comment>
    <comment authorId="0" ref="H4">
      <text>
        <t xml:space="preserve">Visa, SEPA, Tether, ETH, BTC: 0%</t>
      </text>
    </comment>
    <comment authorId="0" ref="F29">
      <text>
        <t xml:space="preserve">card: 3.99% + 1$
skrill: 3.9% + 1$
usdt erc20: variable:
usdt trc20: 0</t>
      </text>
    </comment>
    <comment authorId="0" ref="G29">
      <text>
        <t xml:space="preserve">bank: 3% + 10$
usdt erc20: 3% + 5$
usdt trc20: 3% + 1$</t>
      </text>
    </comment>
    <comment authorId="0" ref="E21">
      <text>
        <t xml:space="preserve">low: 62% (ak slate ft)
mid: 67% (ak redline ft)
high-mid: 66% (awp asiimov ft)
high: 59% (gloves amphibious bs)
avg 64%</t>
      </text>
    </comment>
    <comment authorId="0" ref="F21">
      <text>
        <t xml:space="preserve">credit cards, google pay, apple pay, skrill, trustly: 0%
btc: $1.57 up to $150 amount, 1% afterwards
ltc: 1%
eth: 1%
tether trc20: $2.64 up to $330 amount, 0.8% afterwards
tether erc20: 1%</t>
      </text>
    </comment>
    <comment authorId="0" ref="F13">
      <text>
        <t xml:space="preserve">bank transfer: 1.5%
credit card: 2.5%+0.7EUR
crypto: 0%</t>
      </text>
    </comment>
    <comment authorId="0" ref="F30">
      <text>
        <t xml:space="preserve">credit/debit card: 2.8% + 0.3$
crypto (usdc, usdp): 1%
ideal: 1.8% +0.29 EUR</t>
      </text>
    </comment>
    <comment authorId="0" ref="F22">
      <text>
        <t xml:space="preserve">All payment methods (EUR &amp; USD), excluding Amex: 2.9% + 0,30 €
Amex: 4.5% + 0,30 €
btc: 0%</t>
      </text>
    </comment>
    <comment authorId="0" ref="G22">
      <text>
        <t xml:space="preserve">eur/usd cashout: 1.5% + 0,30 €
btc: 2% + 0.000012 BTC</t>
      </text>
    </comment>
    <comment authorId="0" ref="C14">
      <text>
        <t xml:space="preserve">trade:
5$: 11% (ak slate ft)
55$: 9% (ak redline ft)
low stock, can't check more expensive items</t>
      </text>
    </comment>
    <comment authorId="0" ref="E14">
      <text>
        <t xml:space="preserve">low: 61% (ak slate ft)
mid: 68% (ak redline ft)
high-mid: 61% (awp asiimov ft)
high: 56% (gloves amphibious bs)
avg 62%</t>
      </text>
    </comment>
    <comment authorId="0" ref="E204">
      <text>
        <t xml:space="preserve">trade:
5$: 11.5% (ak slate ft)
55$: 6.5% (ak redline ft)
200$: 11% (awp asiimov ft)
700$: 16% (gloves amphibious ft)</t>
      </text>
    </comment>
    <comment authorId="0" ref="F204">
      <text>
        <t xml:space="preserve">low: -15% (galil eco ft)
mid: -15% (ak redline ft)
high-mid: -15% (awp asiimov ft)
high: -15% (butterfly crimson ft)
avg -15%</t>
      </text>
    </comment>
    <comment authorId="0" ref="G204">
      <text>
        <t xml:space="preserve">Visa, Mastercard, Apple Pay, Google Pay, Kinguin, Tether, ETH, BTC: 0%</t>
      </text>
    </comment>
    <comment authorId="0" ref="C39">
      <text>
        <t xml:space="preserve">trade:
5$: 8% (ak slate ft)
55$: 8% (ak redline ft)
200$: 8% (awp asiimov ft)
380$: 8% (ak fuel injector ft)</t>
      </text>
    </comment>
    <comment authorId="0" ref="H204">
      <text>
        <t xml:space="preserve">Visa, SEPA, Tether, ETH, BTC: 0%</t>
      </text>
    </comment>
    <comment authorId="0" ref="E6">
      <text>
        <t xml:space="preserve">low: 71% (ak slate ft)
mid: 69% (ak redline ft)
high-mid: 69% (awp asiimov ft)
high: 61% (gloves amphibious bs)
avg 68%</t>
      </text>
    </comment>
    <comment authorId="0" ref="G6">
      <text>
        <t xml:space="preserve">from insta-sell:
sepa: 2%
cards: 3.5%+0.3EUR/USD
usdt trc-20: 0.4%+2.84EUR/USD
usdt erc-20: 0.4%+0.45EUR/USD
usdt bsc: 0.4%+0.28EUR/USD
btc: 0.4%+2.2EUR/USD
eth: 0.4%+0.15EUR/USD
binance coin: 0.4%+0.12EUR/USD
ltc: 0.4%
solana: 0.4%+0.21EUR/USD
usdt ton: 0.4%+0.09EUR/USD
withdraw from balance:
sepa: 3 EUR (fixed)
</t>
      </text>
    </comment>
    <comment authorId="0" ref="G31">
      <text>
        <t xml:space="preserve">payoneer: 1% + $1
bank transfer: 1% + fixed fee</t>
      </text>
    </comment>
    <comment authorId="0" ref="E23">
      <text>
        <t xml:space="preserve">low: 62% (ak slate ft)
mid: 65% (ak redline ft)
high-mid: 62% (awp asiimov ft)
high: 56% (gloves amphibious bs)
avg 61%</t>
      </text>
    </comment>
    <comment authorId="0" ref="G56">
      <text>
        <t xml:space="preserve">Bank transfer: 1.5%.
Credit/Debit card: 2.5%+0.7EUR.
BTC, ETH, LTC, Tether: 0%</t>
      </text>
    </comment>
    <comment authorId="0" ref="G23">
      <text>
        <t xml:space="preserve">visa: 1.5% + 1 EUR
mastercard: 4% + 2.5 EUR
paypal: 4% + 2 USD
skrill: 1%
payoneer: 1%
bank wire: 1% + 1 EUR
btc, ltc, tether trc20&amp;erc20, tron, bitcoin cash, bnb, cardano, doge, usdc erc20, solana, usdcs, usdts, usdtb: 1.5%
eth: 1.5% + 10 EUR
</t>
      </text>
    </comment>
    <comment authorId="0" ref="H56">
      <text>
        <t xml:space="preserve">Bank transfer: 2.5%</t>
      </text>
    </comment>
    <comment authorId="0" ref="C15">
      <text>
        <t xml:space="preserve">trade:
5$: 12% (ak slate ft)
55$: 13.5% (ak redline ft)
200$: 14% (awp asiimov ft)
700$: 14% (gloves amphibious ft)</t>
      </text>
    </comment>
    <comment authorId="0" ref="E15">
      <text>
        <t xml:space="preserve">low: 58% (ak slate ft)
mid: 60% (ak redline ft)
high-mid: 58% (awp asiimov ft)
high: 51% (gloves amphibious bs)
avg 57%</t>
      </text>
    </comment>
    <comment authorId="0" ref="F15">
      <text>
        <t xml:space="preserve">credit/debit cards: 0.3$
cashapp: 0.3$
crypto (coinbase): 0
kinguin gift cards: 0
</t>
      </text>
    </comment>
    <comment authorId="0" ref="G15">
      <text>
        <t xml:space="preserve">paypal: 2% + 0.25$
ltc: 0
eth: 0.05$
venmo: 2% + 0.25$
prepaid card: 3.4%+3$
usdt erc20: 0.05$
usdc erc20: 0.05$
btc: 0.93$</t>
      </text>
    </comment>
    <comment authorId="0" ref="C40">
      <text>
        <t xml:space="preserve">trade:
5$: 10% (ak slate ft)
130$: 5% (awp containment breach ft)
don't really have stock for skins I have</t>
      </text>
    </comment>
    <comment authorId="0" ref="E7">
      <text>
        <t xml:space="preserve">low: 69% (ak slate ft)
mid: 59% (ak redline ft)
high-mid: 75% (awp asiimov ft)
high: 67% (gloves amphibious bs)
avg 68%</t>
      </text>
    </comment>
    <comment authorId="0" ref="F7">
      <text>
        <t xml:space="preserve">cards: 5.5%
cbl: 5.5%
usdc erc20: 0.5%
tether erc20, bep20, trc20: 0.5%
btc: 0.5%
sberpay: 5.5%
tpay: 5.5%
eth: 0.5%
bnb: 0.5%
ton: 0.5%
uah: 8%
ltc: 0.5%
tron: 0.5%
</t>
      </text>
    </comment>
    <comment authorId="0" ref="C32">
      <text>
        <t xml:space="preserve">trade:
5$: 7% (ak slate ft)
55$: 18% (ak redline ft)
200$: 15.5% (awp asiimov ft)
700$: 19% (gloves amphibious ft)</t>
      </text>
    </comment>
    <comment authorId="0" ref="E32">
      <text>
        <t xml:space="preserve">low: 63% (ak slate ft)
mid: 72% (ak redline ft)
high-mid: 71% (awp asiimov ft)
high: 62% (gloves amphibious bs)
avg 67%
</t>
      </text>
    </comment>
    <comment authorId="0" ref="F32">
      <text>
        <t xml:space="preserve">market mode:
visa, mc: 4.2% + 0.3$
trade mode:
unknown, likely that none</t>
      </text>
    </comment>
    <comment authorId="0" ref="E24">
      <text>
        <t xml:space="preserve">low: 35% (ak slate ft)
mid: 31% (ak redline ft)
high-mid: 42% (ak fuel injector ft)
high: 58% (gloves amphibious bs)
avg 42%</t>
      </text>
    </comment>
    <comment authorId="0" ref="G24">
      <text>
        <t xml:space="preserve">paypal: 2% +0.3$
eth: 2.5$
ltc: 0.5$
btc: 5$</t>
      </text>
    </comment>
    <comment authorId="0" ref="C16">
      <text>
        <t xml:space="preserve">trade:
5$: 15% (ak slate ft)
55$: 9% (ak redline ft)
135$: 8% (m4 master piece ft)</t>
      </text>
    </comment>
    <comment authorId="0" ref="E16">
      <text>
        <t xml:space="preserve">low: 64% (ak slate ft)
mid: 69% (ak redline ft)
high-mid: 68% (awp asiimov ft)
high: 62% (gloves amphibious bs)
avg 66%
</t>
      </text>
    </comment>
    <comment authorId="0" ref="F16">
      <text>
        <t xml:space="preserve">btc, eth, ltc, solana, doge, chainlink (erc), usdc (erc), usdt (erc): 2%
kinguin gift cards (visa, mc, paypal, klarna): 5%</t>
      </text>
    </comment>
    <comment authorId="0" ref="G16">
      <text>
        <t xml:space="preserve">paypal: $1+2%
btc: $1.27
eth: $0.05
ltc: $0.01
usdt (erc): $0.23</t>
      </text>
    </comment>
    <comment authorId="0" ref="C41">
      <text>
        <t xml:space="preserve">trade
5$: 13% (ak slate ft)
55$: 13% (ak redline ft)
200$: 13% (awp asiimov ft)
700$: 13% (gloves amphibious ft)</t>
      </text>
    </comment>
    <comment authorId="0" ref="C8">
      <text>
        <t xml:space="preserve">trade bots:
5$: 8% (ak slate ft)
55$: 10.5% (ak redline ft)
200$: 9% (awp asiimov ft)
700$: 7.5% (gloves amphibious ft)</t>
      </text>
    </comment>
    <comment authorId="0" ref="E41">
      <text>
        <t xml:space="preserve">low: 49% (ak slate ft)
mid: 49% (ak redline ft)
high-mid: 47% (awp asiimov ft)
high: 43% (gloves amphibious bs)
avg 47%</t>
      </text>
    </comment>
    <comment authorId="0" ref="E8">
      <text>
        <t xml:space="preserve">low: 60% (ak slate ft)
mid: 62% (ak redline ft)
high-mid: 62% (awp asiimov ft)
high: 55% (gloves amphibious bs)
avg 60%
</t>
      </text>
    </comment>
    <comment authorId="0" ref="G41">
      <text>
        <t xml:space="preserve">btc: 1.8$
eth: 0.11$
usdt erc20: 0.33$
usdc erc20: 0.33$
ltc: 0$
tron: 0.23$
usdt trc20: 3$</t>
      </text>
    </comment>
    <comment authorId="0" ref="G8">
      <text>
        <t xml:space="preserve">payoneer: 3$
paypal: 3.75$
volet: 0.5$
ltc: 0.1$
btc: 5$
eth: 2$
solana: 0.1$
usdc: 0.2%
usdt: 2$</t>
      </text>
    </comment>
    <comment authorId="0" ref="C33">
      <text>
        <t xml:space="preserve">trade:
5$: 10% (ak slate ft)
55$: 7% (ak redline ft)
200$: 9.5% (awp asiimov ft)
700$: 9.5% (gloves amphibious ft)</t>
      </text>
    </comment>
    <comment authorId="0" ref="F33">
      <text>
        <t xml:space="preserve">revolut, payop: 5% + 0.5$
credit cards, apple pay, google pay: 3% + 0.25$
crypto: 0%
neteller: 5% + 0.25$</t>
      </text>
    </comment>
    <comment authorId="0" ref="E25">
      <text>
        <t xml:space="preserve">low: 71% (ak slate ft)
mid: 72% (ak redline ft)
high-mid: 71% (awp asiimov ft)
high: 65% (gloves amphibious bs)
avg 70%</t>
      </text>
    </comment>
    <comment authorId="0" ref="F25">
      <text>
        <t xml:space="preserve">mir, cbl, fk wallet: 1%
tron: 0%
ton: 0%
eth: 0%
btc: 0%
usdt: 0%</t>
      </text>
    </comment>
    <comment authorId="0" ref="G25">
      <text>
        <t xml:space="preserve">mir: 30rub + 1.7%
cbl: 30rub
usdt: 1 USDT
ton: 0.01 TON
btc: 0.00025 btc</t>
      </text>
    </comment>
    <comment authorId="0" ref="C17">
      <text>
        <t xml:space="preserve">trade:
5$: 10.5% (ak slate ft)
55$: 5% (ak redline ft)
200$: 6% (awp asiimov ft)</t>
      </text>
    </comment>
    <comment authorId="0" ref="F17">
      <text>
        <t xml:space="preserve">credit/debit cards via stripe: 2.9% + $0.25</t>
      </text>
    </comment>
    <comment authorId="0" ref="E9">
      <text>
        <t xml:space="preserve">low: 67% (ak slate ft)
mid: 71% (ak redline ft)
high-mid: 69% (awp asiimov ft)
high: 63% (gloves amphibious bs)
avg 68%</t>
      </text>
    </comment>
    <comment authorId="0" ref="F42">
      <text>
        <t xml:space="preserve">usdt cryptomus: 1%
sepa: 2%+0.26$
visa, mastercard, jcb: 0%
bank card: 1%+0.26$
usdt trc20: 1%+5$
usdt bep20: 1%
usdt erc20: 1%+15$
usdc trc20: 1%+5$
usdc bep20: 1%
usdc erc20: 1%+15$</t>
      </text>
    </comment>
    <comment authorId="0" ref="G9">
      <text>
        <t xml:space="preserve">paypal: 6%
bank cards: 21.5% for min. 6$ amount, decreases for higher amount
kinguin wallet cards: 0%
btc: 19.32$
eth: 2.19$
ltc: 0.18$
usdt trc20: 0$
payeer: 1.5%
volet: 1.5%
sepa: 2%</t>
      </text>
    </comment>
  </commentList>
</comments>
</file>

<file path=xl/sharedStrings.xml><?xml version="1.0" encoding="utf-8"?>
<sst xmlns="http://schemas.openxmlformats.org/spreadsheetml/2006/main" count="2335" uniqueCount="819">
  <si>
    <t>Site</t>
  </si>
  <si>
    <t>Type</t>
  </si>
  <si>
    <t>Buyer fees</t>
  </si>
  <si>
    <t>Seller fees</t>
  </si>
  <si>
    <t>Bot Trade Markup</t>
  </si>
  <si>
    <t>Insta-Sell margin</t>
  </si>
  <si>
    <t>Deposit Fees</t>
  </si>
  <si>
    <t>Withdraw Fees</t>
  </si>
  <si>
    <t>Referral bonus</t>
  </si>
  <si>
    <t>Referral link</t>
  </si>
  <si>
    <t>Referral code</t>
  </si>
  <si>
    <t>TrustPilot rating</t>
  </si>
  <si>
    <t>TrustPilot reviews</t>
  </si>
  <si>
    <t>Monthly visits</t>
  </si>
  <si>
    <t>Notable deposit methods (minus skins)</t>
  </si>
  <si>
    <t>Notable withdraw options (minus skins)</t>
  </si>
  <si>
    <t>Other games</t>
  </si>
  <si>
    <t>Deposit options &amp; fees</t>
  </si>
  <si>
    <t>Withdraw options &amp; fees</t>
  </si>
  <si>
    <t>https://skinport.com/</t>
  </si>
  <si>
    <t>https://skinswap.com/</t>
  </si>
  <si>
    <t>https://mannco.store/</t>
  </si>
  <si>
    <t>https://tradeit.gg/</t>
  </si>
  <si>
    <t>marketplace with bots</t>
  </si>
  <si>
    <t>6-8%</t>
  </si>
  <si>
    <t>marketplace with bots, auction</t>
  </si>
  <si>
    <t>No bonus</t>
  </si>
  <si>
    <t>https://skinport.com/r/radar</t>
  </si>
  <si>
    <t>0-10%</t>
  </si>
  <si>
    <t>https://mannco.store/?ref=radar</t>
  </si>
  <si>
    <t>Paypal, Debit/Credit Card</t>
  </si>
  <si>
    <t>PayPal, Crypto, Debit/Credit Card</t>
  </si>
  <si>
    <t>Bank</t>
  </si>
  <si>
    <t>CS2, TF2, Rust</t>
  </si>
  <si>
    <t>Visa, Mastercard, Apple Pay, PayPal: 0%</t>
  </si>
  <si>
    <t>SEPA: 0%</t>
  </si>
  <si>
    <t>https://lis-skins.com/</t>
  </si>
  <si>
    <t>PayPal, Crypto, Bank</t>
  </si>
  <si>
    <t>Dota 2, CS2, Rust</t>
  </si>
  <si>
    <t>Credit/Debit cards, Apple Pay, Google Pay:$100 has 3.94% fee, lower for higher amounts. BTC, LTC, ETH, USDT, USDC, Tron: 4%. Skrill, UnionPay, BTC, Neosurf, Sofort, Neteller, Trustly, Bancontact, ZEN wallet: 4%</t>
  </si>
  <si>
    <t>Payoneer: $3. Gift cards: 0%. PayPal: 2.75% +$0.5. BTC lightning: 10%. Venmo: 2.75%. Bank transfer: $26 ($15 for US). PayPal (tipalti): $1 + 2% up to $21($2 for US). Check: $2. Mastercard (US): 0%. Debit card (US): 2.75%. Cash app: 2.75%</t>
  </si>
  <si>
    <t>store, bot trading, insta-sell</t>
  </si>
  <si>
    <t>-40% trade | -17% store</t>
  </si>
  <si>
    <t>store, insta-sell</t>
  </si>
  <si>
    <t>-63% trade</t>
  </si>
  <si>
    <t>0-3%</t>
  </si>
  <si>
    <t>0-4.7%</t>
  </si>
  <si>
    <t>0.4%+x$-3.5%</t>
  </si>
  <si>
    <t>0-2%</t>
  </si>
  <si>
    <t>https://lis-skins.com/?rf=2630004</t>
  </si>
  <si>
    <t>free case up to $150</t>
  </si>
  <si>
    <t>https://skinswap.com/r/radar</t>
  </si>
  <si>
    <t>59% trade | 8% store</t>
  </si>
  <si>
    <t>RADAR</t>
  </si>
  <si>
    <t>33% trade</t>
  </si>
  <si>
    <t>https://dmarket.com/</t>
  </si>
  <si>
    <t>8.5-13%</t>
  </si>
  <si>
    <t>Crypto, Debit/Credit Card</t>
  </si>
  <si>
    <t>0-2.8%</t>
  </si>
  <si>
    <t>Crypto, Bank</t>
  </si>
  <si>
    <t>CS2, Rust</t>
  </si>
  <si>
    <t>Credit/Debit cards: 3%. USDT TRC-20, USDT ERC-20, USDT TON, USDT BSC, LTC, ETH, BTC, USDC ERC-20, SOL, USDC BSC: 0%</t>
  </si>
  <si>
    <t>$5 first trade bonus and 35% top up bonus</t>
  </si>
  <si>
    <t>Credit/Debit cards: 3.5% + 0.7EUR. USDT TRC-20: 0.4%+~$2.99. USDT ERC-20: 0.4%+~$2.33. USDT BSC: 0.4%+~$0.99. BTC: 0.4%+~$2.88. ETH: 0.4%+~$1.25. BNB: 0.4%+~$0.68. LTC: 0.4%+~$0.86. SOL: 0.4%+~$1.25. USDT TON: 0.4%+~$0.99. USDC ERC-20: 0.4%+~$2.33</t>
  </si>
  <si>
    <t>https://tradeit.gg/?aff=RADAR</t>
  </si>
  <si>
    <t>https://avan.market/</t>
  </si>
  <si>
    <t>0-3.9%</t>
  </si>
  <si>
    <t>https://dmarket.com?ref=KMSMNF72t9</t>
  </si>
  <si>
    <t>PayPal, Crypto</t>
  </si>
  <si>
    <t>CS2</t>
  </si>
  <si>
    <t>Credit/Debit cards: 3%+$0.3. CashApp: 3%+$0.3. Crypto: 1%. Kinguin gift cards: 0%. PIX: 4.7%</t>
  </si>
  <si>
    <t>PayPal: 2% + $0.25. LTC: 0%. ETH: $0.66. Venmo: 2% + $0.25. USDT ERC20: $0.66. USDC ERC20: $0.66. BTC: $0.39</t>
  </si>
  <si>
    <t>0.5-6.5%</t>
  </si>
  <si>
    <t>0.5-4%</t>
  </si>
  <si>
    <t>Rust, TF2, Steam</t>
  </si>
  <si>
    <t>Rapid Transfer: 2%+$0.13. Apple Pay: 3.5%+$0.25. Credit/Debit cards:2.25%+$0.25. Google Pay: 3.5% +$0.25. BTC: 2%. ETH: 2%. LTC: 2%. Uphold: 0%. USDT ERC20, USDT TRC20: 2%. USDC: 2%. Skrill: 3.9%+$0.13. Neteller:3.9%+$0.13. Other Crypto: 2%. BTC Cash: 2%. Solana: 2%. Tron: 2%. G2A gift card: 0%. Kinguin: 0%</t>
  </si>
  <si>
    <t>https://avan.market/?r=RADAR</t>
  </si>
  <si>
    <t>SEPA: $1.27. Payoneer: 0%. BTC: 1.5%. USDT TRC20: 2%. Donate to Ukraine: 0%. ETH: 2%. LTC: 2%. Check: $3.8. PayPal: 2% +$3.3. Uphold: $0.25. Skrill: 1%</t>
  </si>
  <si>
    <t>Crypto: 2%. Credit/Debit cards, Alipay, Bancontact, Cash App pay, iDeal, Link, WeChat pay: 2.8%+$0.3. Kinguin: 0%</t>
  </si>
  <si>
    <t>Bank transfer, BTC, ETH, USDT ERC20, USDT TRC20, SOL: 2%</t>
  </si>
  <si>
    <t>https://skinflow.gg/</t>
  </si>
  <si>
    <t>CBL: 3%. USDC ERC20, Tether ERC20, Tether BEP20, Tether TRC20, BTC, ETH, BNB, TON, LTC, TRON: 0.5%. RUB: 3%. KZT: 6.5%</t>
  </si>
  <si>
    <t>Credit/Debit cards: 3%+. CBL: 1.5%. Bank transfer: 4%. PayPal: 6%. Tether TRC20: $2.5. Tether BEP20: $0.5. BNB: $0.5. Tether ERC20: $2. ETH: $3. TRON: $0.5. LTC: $0.1. SOL: $0.1. TON: $1. Steam: 0.5%. BTC: $5</t>
  </si>
  <si>
    <t>2% trade | -11% store</t>
  </si>
  <si>
    <t>-24% trade</t>
  </si>
  <si>
    <t>20% trading</t>
  </si>
  <si>
    <t>-9% trade | -3% store</t>
  </si>
  <si>
    <t>-13% trade</t>
  </si>
  <si>
    <t>8-10.5%</t>
  </si>
  <si>
    <t>0-2.9%</t>
  </si>
  <si>
    <t>0.1-$5</t>
  </si>
  <si>
    <t>2% bonus on sells</t>
  </si>
  <si>
    <t>https://skinflow.gg?referral=RADAR</t>
  </si>
  <si>
    <t>Rust, CS2, Steam</t>
  </si>
  <si>
    <t>Crypto: 0%. Credit/Debit cards, Alipay, Bancontact, Cash App pay, iDeal, Link, WeChat pay: 2.8%+$0.3</t>
  </si>
  <si>
    <t>Bank transfer, Crypto: 2%. Balance, Credit/Debit Card: TBD</t>
  </si>
  <si>
    <t>None</t>
  </si>
  <si>
    <t>Dota 2, TF2, CS2</t>
  </si>
  <si>
    <t>BTC, LTC, ETH, SOL, Kinguin: 0%. Credit/Debit cards: 2.9% +$0.4</t>
  </si>
  <si>
    <t>Payoneer: $3. PayPal: 2%+$3.75. Volet: $0.5. LTC: $0.1. BTC: $5. ETH: $2. SOL: $0.1. USDC SOL: $0.2. USDT ERC20: $2</t>
  </si>
  <si>
    <t>-19% store</t>
  </si>
  <si>
    <t>https://skinvault.gg/</t>
  </si>
  <si>
    <t>store, bot trading</t>
  </si>
  <si>
    <t>6% trade | 3% store</t>
  </si>
  <si>
    <t>-17% trade</t>
  </si>
  <si>
    <t>6.5-16%</t>
  </si>
  <si>
    <t>13% trade | -10% store</t>
  </si>
  <si>
    <t>-15% trade</t>
  </si>
  <si>
    <t>$10 trade bonus</t>
  </si>
  <si>
    <t>https://skinvault.gg/?aff=RADAR</t>
  </si>
  <si>
    <t>https://cs.deals/</t>
  </si>
  <si>
    <t>Visa, Mastercard, Apple Pay, Google Pay, Kinguin, BTC, USDT, ETH: 0%</t>
  </si>
  <si>
    <t>Visa, SEPA, USDT, ETH, BTC: 0%</t>
  </si>
  <si>
    <t>CS2, TF2, Steam</t>
  </si>
  <si>
    <t>store, P2P</t>
  </si>
  <si>
    <t>0% P2P | -28% store</t>
  </si>
  <si>
    <t>2-5%</t>
  </si>
  <si>
    <t>2-2.5%</t>
  </si>
  <si>
    <t>https://aim.market/</t>
  </si>
  <si>
    <t>https://csdeals.com/new/?ref=radar</t>
  </si>
  <si>
    <t>Dota 2, TF2, Rust</t>
  </si>
  <si>
    <t>https://csfloat.com/</t>
  </si>
  <si>
    <t>Credit/Debit cards: 1.75%. Bank transfer: 0.5%. Apple Pay: 1.75%. PayPal: 3.8%. Google Pay: 1.75%. Revolut Pay: 1.08%. Rapid: 3%. Paysafecard: 10%. Skrill: 4.5%. Neteller: 4.5%. BTC: 0%</t>
  </si>
  <si>
    <t>Bank transfer: 2.5% + $1.2. BTC: 2% + 0.000012 BTC. ETH, LTC, SOL, USDC ERC20: 2%</t>
  </si>
  <si>
    <t>https://sellyourskins.com/</t>
  </si>
  <si>
    <t>P2P, auction</t>
  </si>
  <si>
    <t>1-2.8%</t>
  </si>
  <si>
    <t>insta-sell</t>
  </si>
  <si>
    <t>0.5-2.5%</t>
  </si>
  <si>
    <t>https://csfloat.com/ref/RADAR</t>
  </si>
  <si>
    <t>0.5-2.9%</t>
  </si>
  <si>
    <t>5% welcome bonus (up to 5% bonus after)</t>
  </si>
  <si>
    <t>0-1%</t>
  </si>
  <si>
    <t>https://sellyourskins.com/ref/RADAR</t>
  </si>
  <si>
    <t>-24% store</t>
  </si>
  <si>
    <t>Credit/Debit cards: 2.8% + $0.3. USDC, USDP: 1%. iDeal: 1.8% +0.27 EUR</t>
  </si>
  <si>
    <t>Credit/Debit cards, Bank transfer, USDC ERC-20: 0.5-2.5%</t>
  </si>
  <si>
    <t>PayPal, Bank transfer, Venmo: 2.5%. Credit/Debit cards: 2.9%. Revolut Pay: 1.5%. Tether TRC20: 1 EUR/USD + 1%. LTC, TRON: 1%</t>
  </si>
  <si>
    <t>0.4%+$x-3.5%</t>
  </si>
  <si>
    <t>https://aim.market/p/2295885f-cfbb-4b48-84ad-2b408a70a20c</t>
  </si>
  <si>
    <t>marketplace with bots, insta-sell</t>
  </si>
  <si>
    <t>Dota 2, CS2</t>
  </si>
  <si>
    <t>Crypto</t>
  </si>
  <si>
    <t>https://waxpeer.com/</t>
  </si>
  <si>
    <t>MIR, CBL, FK wallet: 1%. TRON: 0%. TON: 0%. ETH: 0%. BTC: 0%. USDT: 0%</t>
  </si>
  <si>
    <t>MIR: 30rub + 1.7%. CBL: 30rub. USDT: 1 USDT. TON: 0.01 TON. BTC: 0.00025 BTC</t>
  </si>
  <si>
    <t>-21% store</t>
  </si>
  <si>
    <t>P2P</t>
  </si>
  <si>
    <t>SEPA: 1.27$. Payoneer: 0%. BTC: 1.5%. USDT TRC20: 2%. Donate to Ukraine: 0%. ETH: 2%. LTC: 2%. Check: $3.8. PayPal: 2% +$3.3. Uphold: $0.25. Skrill: 1%. VISA: 1.25% + $0.35</t>
  </si>
  <si>
    <t>https://skin.place/</t>
  </si>
  <si>
    <t>1-2%</t>
  </si>
  <si>
    <t>waxpeer.com/r/RADAR</t>
  </si>
  <si>
    <t>Dota 2, CS2, TF2</t>
  </si>
  <si>
    <t>2% store mode</t>
  </si>
  <si>
    <t>Unionpay: 0%. Credit/Debit cards: 0%. SEPA: 1%. BTC, LTC, BNB: 2%. TRON, USDT TRC20, USDT ERC20, USDT PRC20, Kinguin: 0%. TON, SOL, USDT SPL, USDC ERC20, USDC AVM, USDC TRC20, DAI ERC20, DAI PRC20, ETH, USDT TON, BNB, AVAX AVM, BCH, DASH, DOGE, MATIC PRC20, XMR: 1%</t>
  </si>
  <si>
    <t>https://itrade.gg/</t>
  </si>
  <si>
    <t>USDT PRC20: 1%. TRON, USDT TRC20: 2%</t>
  </si>
  <si>
    <t>https://skins.cash/</t>
  </si>
  <si>
    <t>Dota 2, Rust</t>
  </si>
  <si>
    <t>Credit/Debit cards: 3.5% + $0.8. USDT TRC-20: 0.4%+~$2.99. USDT ERC-20: 0.4%+~$2.33. USDT BSC: 0.4%+~$0.99. BTC: 0.4%+~$2.88. ETH: 0.4%+~$1.25. BNB: 0.4%+~$0.68. LTC: 0.4%+~$0.86. SOL: 0.4%+~$1.25. USDT TON: 0.4%+~$0.99. USDC ERC-20: 0.4%+~$2.33</t>
  </si>
  <si>
    <t>https://pirateswap.com/</t>
  </si>
  <si>
    <t>1-4%</t>
  </si>
  <si>
    <t>bot trading</t>
  </si>
  <si>
    <t>increased skin price multiplier/lower fees</t>
  </si>
  <si>
    <t>-42% trade</t>
  </si>
  <si>
    <t>https://skins.cash/user/ref/76561198051792928</t>
  </si>
  <si>
    <t>-38% trade</t>
  </si>
  <si>
    <t>3% trade | 16% store</t>
  </si>
  <si>
    <t>3.9% + $0.39</t>
  </si>
  <si>
    <t>13% trade</t>
  </si>
  <si>
    <t>$0.30 in your in-site inventory</t>
  </si>
  <si>
    <t>https://itrade.gg?ref=RADAR</t>
  </si>
  <si>
    <t>VISA: 1.5% + 1 EUR (EUR) or 5.5% + 1 EUR (USD). MasterCard: 4% + 2.5 EUR. PayPal: 4% + $2 (USD). Skrill: 1%. Payoneer: 1%. Revolut: 1% (EUR). Bank transfer: 1% + 1 EUR (EUR). BTC, USDT TRC20, TRON, BNB, SOL, USDC SOL, USDT SOL, USDT BEP20: 2% (EUR), LTC: 2% + 0.5 EUR (EUR). USDT ERC20: 2% + 5 EUR (EUR). ETH, USDC ERC20: 2% + 1.5 EUR (EUR). BCH, ADA, DOGE: 2% + 0.5 EUR (EUR)</t>
  </si>
  <si>
    <t>0.65-4%</t>
  </si>
  <si>
    <t>https://skincashier.com/</t>
  </si>
  <si>
    <t>$0-$3</t>
  </si>
  <si>
    <t>35% refill bonus</t>
  </si>
  <si>
    <t>2-7%</t>
  </si>
  <si>
    <t>https://pirateswap.com/?ref=radar</t>
  </si>
  <si>
    <t>2% bonus for your next trade</t>
  </si>
  <si>
    <t>Debit/Credit Card</t>
  </si>
  <si>
    <t>https://skin.place?utm_campaign=vVP2fTghQ1PFWcl</t>
  </si>
  <si>
    <t>Credit/Debit cards: 3.9% + $0.39. Crypto: 1%</t>
  </si>
  <si>
    <t>Credit/Debit cards, Neteller, Neosurf, Skrill, Google Pay, Sofort, Trustly, Kinguin, blik, BTC, ETH, LTC, DOGE, USDT ERC20, USDT TRC20, USDC ERC20, TRON: 0%</t>
  </si>
  <si>
    <t>BTC: $2.98. ETH: $0.26. USDT ERC20: $0.6. USDC ERC20: $0.6. LTC: $0.86. TRON: $0.31. USDT TRC20: $3.01</t>
  </si>
  <si>
    <t>2% to 2$</t>
  </si>
  <si>
    <t>new users get 3% bonus for their items</t>
  </si>
  <si>
    <t>https://skincashier.com/r/RADAR</t>
  </si>
  <si>
    <t>-1% trade | 6% store |
buy from YouPin: 1%</t>
  </si>
  <si>
    <t>-3% trade</t>
  </si>
  <si>
    <t>Rust, Dota 2, CS2</t>
  </si>
  <si>
    <t>12-14%</t>
  </si>
  <si>
    <t>PayPal: 2%. BTC: $2. ETH: $1. LTC: $0.1</t>
  </si>
  <si>
    <t>https://rustskins.com/</t>
  </si>
  <si>
    <t>free case up to $50</t>
  </si>
  <si>
    <t>Rust</t>
  </si>
  <si>
    <t>Credit/Debit cards: 4%. BTC: $1.73 up to $175, 1% after. LTC, ETH: 1%. USDT TRC20, ERC20: $1.39 up to $216, 0.65% after.</t>
  </si>
  <si>
    <t>Credit/Debit cards: 4.5% + $1.16. SEPA: 2% + $4.05. PayPal: 7% + $4</t>
  </si>
  <si>
    <t>0% to $4</t>
  </si>
  <si>
    <t>11% store mode</t>
  </si>
  <si>
    <t>https://rustskins.com/r/radar</t>
  </si>
  <si>
    <t>P2P, insta-sell</t>
  </si>
  <si>
    <t>Rust, CS2</t>
  </si>
  <si>
    <t>BTC, ETH, LTC, SOL, TRX, USDC, USDT, XRP: 0%</t>
  </si>
  <si>
    <t>PayPal: 0%. BTC, ETH, LTC, SOL, TRX, USDC, USDT, XRP: 1%+gas</t>
  </si>
  <si>
    <t>https://merchant.tf/</t>
  </si>
  <si>
    <t>Dota 2, Rust, TF2</t>
  </si>
  <si>
    <t>TF2, CS2</t>
  </si>
  <si>
    <t>bot trading, store, insta-sell</t>
  </si>
  <si>
    <t>-27% trade | -27% store</t>
  </si>
  <si>
    <t>-31% trade</t>
  </si>
  <si>
    <t>6% trading</t>
  </si>
  <si>
    <t>0-3%+$0.25</t>
  </si>
  <si>
    <t>0-2%+$0.25</t>
  </si>
  <si>
    <t>up to $5 bonus on your first trade</t>
  </si>
  <si>
    <t>https://merchant.tf/r/radar</t>
  </si>
  <si>
    <t>radar</t>
  </si>
  <si>
    <t>Credit/Debit cards: 3% + $0.25. BTC, ETH, LTC, USDC ERC20, USDT ERC20: 0%</t>
  </si>
  <si>
    <t>Credit/Debit cards, Apple Pay, Google Pay:100$ has 3.94% fee, lower for higher amounts. BTC, LTC, ETH, USDT, USDC, Tron: 4%. Skrill, UnionPay, BTC, Neosurf, Sofort, Neteller, Trustly, Bancontact, ZEN: 4%</t>
  </si>
  <si>
    <t>BTC, ETH, USDC ERC20, USDT ERC20: $0.09. LTC: 0%. PayPal: 2% + $0.25</t>
  </si>
  <si>
    <t>https://ctrade.tf/</t>
  </si>
  <si>
    <t>13% trade mode</t>
  </si>
  <si>
    <t>23% trade</t>
  </si>
  <si>
    <t>5-10.5%</t>
  </si>
  <si>
    <t>https://itrade.gg/?ref=RADAR</t>
  </si>
  <si>
    <t>24% store</t>
  </si>
  <si>
    <t>https://skinbaron.de/</t>
  </si>
  <si>
    <t>https://ctrade.tf?referred_by=MINDREFLEX</t>
  </si>
  <si>
    <t>MINDREFLEX</t>
  </si>
  <si>
    <t>2-15%</t>
  </si>
  <si>
    <t>0-5%</t>
  </si>
  <si>
    <t>https://shadowpay.com/</t>
  </si>
  <si>
    <t>Reduced buyer fee to 0% &amp; seller fee to 6%</t>
  </si>
  <si>
    <t>Credit/Debit cards, PayPal, Cash App, Afterpay, Crypto: 0%</t>
  </si>
  <si>
    <t>PayPal: 2%. Crypto: 1%</t>
  </si>
  <si>
    <t>https://skinbaron.de/affiliate/861.html</t>
  </si>
  <si>
    <t>https://swap.gg/</t>
  </si>
  <si>
    <t>Bank transfer (sepa/swift): 0%. Klarna: 5%. Credit/Debit cards: 5% + 0.35 EUR. iDeal: 5%. Google Pay: 5% + 0.35 EUR. GiroPay: 5%. MobilePay: 5% + 0.35 EUR. CarteBancaire: 5% + 0.35 EUR</t>
  </si>
  <si>
    <t>Bank transfer: 0%</t>
  </si>
  <si>
    <t>bot trading, insta-sell</t>
  </si>
  <si>
    <t>-2% trade</t>
  </si>
  <si>
    <t>37% trading</t>
  </si>
  <si>
    <t>https://shadowpay.com?utm_campaign=S7OLWDWMGwMfRvP</t>
  </si>
  <si>
    <t>https://swap.gg/?r=PTSRMHOV</t>
  </si>
  <si>
    <t>4% store mode</t>
  </si>
  <si>
    <t>Credit/Debit cards, PayPal, Payop, Neosurf, Skrill, Bank transfer, ZEN, Crypto, PayDo, Revolut: 0%</t>
  </si>
  <si>
    <t>SEPA, BTC, ETH, LTC, TRON, SOL, DOGE: 0%</t>
  </si>
  <si>
    <t>https://loot.farm/</t>
  </si>
  <si>
    <t>MIR, CBL, FK wallet: 1%. TRON, TON, ETH, BTC, USDT: 0%</t>
  </si>
  <si>
    <t>Credit/Debit cards, Google Pay, Apple Pay, Skrill, Trustly, blik, Union Pay: 3%. BTC: ~$1.73 up to $150 amount, 1% afterwards. LTC, ETH: 1%. USDT TRC20: ~$2.89 up to $330 amount, 0.8% afterwards. USDT ERC20: 1%. Kinguin: 0%</t>
  </si>
  <si>
    <t>Credit/Debit cards, BNB, BTC, ETH, LTC, USDT ERC20, TRC20: 5%</t>
  </si>
  <si>
    <t>-11% trade</t>
  </si>
  <si>
    <t>5% trading</t>
  </si>
  <si>
    <t>1% store mode</t>
  </si>
  <si>
    <t>store, P2P, insta-sell</t>
  </si>
  <si>
    <t>Coinbase, Cryptomus, Credit/Debit cards, Google Pay, Apple Pay, ZEN, Skrill, Klarna, Qivi, Poli, Paysafecard: 0%</t>
  </si>
  <si>
    <t>https://marketplace.tf/</t>
  </si>
  <si>
    <t>2% to $2</t>
  </si>
  <si>
    <t>CS2, Dota 2, TF2</t>
  </si>
  <si>
    <t>https://rapidskins.com/</t>
  </si>
  <si>
    <t>Paypal, Bank</t>
  </si>
  <si>
    <t>Dota 2</t>
  </si>
  <si>
    <t>PayPal, Crypto (Coinbase), Credit/Debit cards, Cash App Pay, Amazon Pay: 0%</t>
  </si>
  <si>
    <t>Bank transfer, PayPal: 0%</t>
  </si>
  <si>
    <t>https://cs.trade/</t>
  </si>
  <si>
    <t>-20% trade | -20% store</t>
  </si>
  <si>
    <t>-45% trade</t>
  </si>
  <si>
    <t>$0.01 to $1+2%</t>
  </si>
  <si>
    <t>boost your item prices by 1%</t>
  </si>
  <si>
    <t>https://rapidskins.com/a/RADAR</t>
  </si>
  <si>
    <t>-23% trade</t>
  </si>
  <si>
    <t>-35% trade</t>
  </si>
  <si>
    <t>1% of item deposit</t>
  </si>
  <si>
    <t>https://cs.trade/trade?ref=RADAR</t>
  </si>
  <si>
    <t>BTC, ETH, LTC, SOL, DOGE, Chainlink (erc), USDC (erc), USDT (erc): 2%. Kinguin gift cards: 5%</t>
  </si>
  <si>
    <t>PayPal: $1+2%. BTC: ~$0.54. ETH: ~0.09$. LTC: ~0.01$. USDT ERC20: ~0.27$</t>
  </si>
  <si>
    <t>Credit/Debit cards, PayPal, Kinguin, Revolut, Trustly, Neteller, Skrill, Neosurf, ZEN: 0%</t>
  </si>
  <si>
    <t>https://backpack.tf/</t>
  </si>
  <si>
    <t>Rust, TF2</t>
  </si>
  <si>
    <t>BTC, ETH, LTC, SOL, TRON, USDC, USDT, XRP: 0%</t>
  </si>
  <si>
    <t>PayPal: 0%. BTC, ETH, LTC, SOL, TRON, USDC, USDT, XRP: 1%+gas</t>
  </si>
  <si>
    <t>https://cs.money/</t>
  </si>
  <si>
    <t>https://stntrading.eu/</t>
  </si>
  <si>
    <t>Rust, CS2, TF2</t>
  </si>
  <si>
    <t>https://skin.land/</t>
  </si>
  <si>
    <t>P2P, bot trading, insta-sell</t>
  </si>
  <si>
    <t>30% trade mode</t>
  </si>
  <si>
    <t>5% trade, 5% P2P</t>
  </si>
  <si>
    <t>7-19%</t>
  </si>
  <si>
    <t>0-4.9% + $0.5</t>
  </si>
  <si>
    <t>1.5%+$1.2</t>
  </si>
  <si>
    <t>https://cs.money/market/buy/?utm_source=mediabuy&amp;utm_medium=skinradar.gg&amp;utm_campaign=market&amp;utm_content=link</t>
  </si>
  <si>
    <t>https://scrap.tf/</t>
  </si>
  <si>
    <t>0-3.36%</t>
  </si>
  <si>
    <t>0-4.2%</t>
  </si>
  <si>
    <t>Credit/Debit cards: 4.2% + $0.3. USDC ERC20, ETH, LTC, TRON, USDT TRON, BNB, TON, USDT ERC20, USDT BEP20, USDT TRC20, USDT TRON, BTC, USDC BEP20: 0%. PayPal: 4.9% + $0.5</t>
  </si>
  <si>
    <t>VISA Cards: 1.5% + $1.2</t>
  </si>
  <si>
    <t>PayPal, blik, Sofort, UnionPay, WeChat, PagSeguro, MB: 0%. Credit/Debit cards: 3% + $0.28. Skrill, Neteller: 3.36% + $0.33. Alipay: 3%. BTC, ETH, USDT TRC20, USDT ERC20, BCH, LTC, SOL, USDT TON, USDC ERC20: 0%</t>
  </si>
  <si>
    <t>MasterCard: 4.2% + $1.15. VISA: 1.5% + $1.15. SEPA: 0%. Skrill: 1%. Neteller: 2%. BTC: 0.4% + $3.88. ETH: 0.4% + $0.16. USDT TRC20: 0.4% + $2.99. USDT ERC20: 0.4% + $0.38. BCH: 0.4% + $0.77. BNB: 0.4% + $0.99. LTC: 0.4% + $1.06. SOL: 0.4% + $1.33. USDC BEP20: 0.4% + $0.99. USDT BEP20: 0.4% + $0.99. USDT TON: 0.4% + $0.99. USDC ERC20: 0.4% + $0.71</t>
  </si>
  <si>
    <t>https://buff.163.com/</t>
  </si>
  <si>
    <t>https://mannco.trade/</t>
  </si>
  <si>
    <t>Rust, Dota 2, TF2</t>
  </si>
  <si>
    <t>28% trade</t>
  </si>
  <si>
    <t>-25% trade</t>
  </si>
  <si>
    <t>https://buff.market/</t>
  </si>
  <si>
    <t>56% trading</t>
  </si>
  <si>
    <t>0% P2P | -22% store</t>
  </si>
  <si>
    <t>https://quicksell.store/</t>
  </si>
  <si>
    <t>1-3.5% + $0.15</t>
  </si>
  <si>
    <t>1 wheelspin for balance</t>
  </si>
  <si>
    <t>https://buff.market/home?ref=U1093251813</t>
  </si>
  <si>
    <t>5-10%</t>
  </si>
  <si>
    <t>Credit/Debit cards: 3.5% + $0.15. Crypto: 1%</t>
  </si>
  <si>
    <t>Payoneer: 1% + $1. Bank transfer: 1% + fixed fee</t>
  </si>
  <si>
    <t>https://tf2mart.net/</t>
  </si>
  <si>
    <t>21% trade | 12% store</t>
  </si>
  <si>
    <t>-9% trade</t>
  </si>
  <si>
    <t>https://www.trade.tf/</t>
  </si>
  <si>
    <t>Credit/Debit cards, PayPal, Kinguin, Revolut Pay, Trustly, Neteller, Skrill, Neosurf, ZEN: 0%</t>
  </si>
  <si>
    <t>https://white.market/</t>
  </si>
  <si>
    <t>-17% store</t>
  </si>
  <si>
    <t>https://sfuminator.tf/</t>
  </si>
  <si>
    <t>https://white.market/invite/9ce6858d5ef8bb9c</t>
  </si>
  <si>
    <t>Credit/Debit cards: 3% + provider fee. Tether, USDC, LTC, SOL, DOGE, WBT Coin, ETH, BTC, Kinguin, Driffle, G2A, SEAGM: 0%</t>
  </si>
  <si>
    <t>Whitebit code: 0%. USDT TRC20: $1. LTC: $2.13. USDC: $2.01. SOL: $2.7. DOGE: $1.46. BTC: $43.33. ETH: $3.77</t>
  </si>
  <si>
    <t>-14% trade</t>
  </si>
  <si>
    <t>-20% trade</t>
  </si>
  <si>
    <t>some sites use PayPal through Kinguin or G2A via gift cards</t>
  </si>
  <si>
    <t>https://tf2trade.tf/</t>
  </si>
  <si>
    <t>https://skinradar.gg/dota-2-trading-sites</t>
  </si>
  <si>
    <t>P2P, insta-sell, bot trading</t>
  </si>
  <si>
    <t>0% P2P | 19% trade</t>
  </si>
  <si>
    <t>-19% trade, 5% P2P</t>
  </si>
  <si>
    <t>29-35%</t>
  </si>
  <si>
    <t>^ site list but on a website ^</t>
  </si>
  <si>
    <t>https://spells.tf/</t>
  </si>
  <si>
    <t>-27% trade</t>
  </si>
  <si>
    <t>Credit/Debit cards, BNB, BTC, ETH, LTC, USDT ERC20, USDT TRC20: 5%</t>
  </si>
  <si>
    <t>4% trade | -2% store</t>
  </si>
  <si>
    <t>https://skinradar.gg/tf2-trading-sites</t>
  </si>
  <si>
    <t>8-15%</t>
  </si>
  <si>
    <t>-32% trade</t>
  </si>
  <si>
    <t>-48% trade</t>
  </si>
  <si>
    <t>BTC, ETH, LTC, SOL, DOGE, Chainlink ERC20, USDC ERC20, USDT ERC20: 2%. Kinguin gift cards: 5%</t>
  </si>
  <si>
    <t>PayPal: 2%+$1. BTC: ~$0.54. ETH: ~$0.09. LTC: ~$0.01. USDT ERC20: ~$0.27. VISA: $1. Bank transfer: 2% + $1. Prepaid Card: $1</t>
  </si>
  <si>
    <t>https://cashed.gg/</t>
  </si>
  <si>
    <t>52% trade mode</t>
  </si>
  <si>
    <t>44% trade</t>
  </si>
  <si>
    <t>9-11%</t>
  </si>
  <si>
    <t>TF2, Rust</t>
  </si>
  <si>
    <t>Credit/Debit cards, PayPal, Payop, Neosurf, Skrill, Bank transfer, ZEN, Crypto, PayDo, Revolut Pay: 0%</t>
  </si>
  <si>
    <t>https://cashed.gg/r/RADAR</t>
  </si>
  <si>
    <t>https://skinomat.com/</t>
  </si>
  <si>
    <t>SEPA, Revolut, Elixir: 0%. PayPal: 2%</t>
  </si>
  <si>
    <t>2% + $0.3 to $5</t>
  </si>
  <si>
    <t>3% bonus on sells</t>
  </si>
  <si>
    <t>https://skinomat.com/r/RADAR</t>
  </si>
  <si>
    <t>https://skinradar.gg/rust-trading-sites</t>
  </si>
  <si>
    <t>PayPal: 2% +$0.3. LTC: $0.5. BTC: $5</t>
  </si>
  <si>
    <t>VISA: 1.5% + 1 EUR (EUR) or 5.5% + 1 EUR (USD). MasterCard: 4% + 2.5 EUR. PayPal: 4% + $2 (USD). Skrill: 1%. Payoneer: 1%. Revolut Pay: 1% (EUR). Bank transfer: 1% + 1 EUR (EUR). BTC, USDT TRC20, TRON, BNB, SOL, USDC SOL, USDT SOL, USDT BEP20: 2% (EUR), LTC: 2% + 0.5 EUR (EUR). USDT ERC20: 2% + 5 EUR (EUR). ETH, USDC ERC20: 2% + 1.5 EUR (EUR). BCH, ADA, DOGE: 2% + 0.5 EUR (EUR)</t>
  </si>
  <si>
    <t>0% P2P | 22% store</t>
  </si>
  <si>
    <t>Credit/Debit cards: 1.75%. Bank transfer: 0.5%. Apple Pay: 1.75%. PayPal: 3.8%. Google Pay: 1.75%. Revolut Pay: 1.08%. Rapid: 3%. Paysafecard: 10%. Skrill: 4.5%. Neteller: 4.5%. BTC, USDT ERC20, USDT AVAX, USDT MATIC, USDT SOL, USDT TON, USDT TRX, USDC ARB, USDC AVAX, USDC BASE, USDC ERC20, USDC NOBLE, USDC MATIC, USDC SOL, Crypto: 0%</t>
  </si>
  <si>
    <t>https://waxpeer.com/r/RADAR</t>
  </si>
  <si>
    <t>https://skinsauna.gg/</t>
  </si>
  <si>
    <t>1% price boost</t>
  </si>
  <si>
    <t xml:space="preserve">Bank transfer: 0.29% + $1.16. USDT ERC20, USDT TRC20, USDT Polygon, USDT BEP20, USDT SOL, USDT Arbitrum One, USDC SOL, USDC Polygon, USDC Arbitrum One, USDC ERC20, DAI ERC20, DAI Polygon: 0.5%. BTC, ETH, SOL: 2%. </t>
  </si>
  <si>
    <t>PayPal: 2%. Bank transfer: 1%</t>
  </si>
  <si>
    <t>https://exeskins.com/</t>
  </si>
  <si>
    <t>Need to get in touch? Add me on Discord: mindreflex</t>
  </si>
  <si>
    <t>1-3.5%</t>
  </si>
  <si>
    <t>5% cashback</t>
  </si>
  <si>
    <t>https://exeskins.com/r/EXELH5D77VE</t>
  </si>
  <si>
    <t>EXELH5D77VE</t>
  </si>
  <si>
    <t>Credit/Debit cards, Apple Pay, Google Pay, SEPA, iDeal, Bancontact, Przelewy24, blik, EPS, Multibanco: 3.5% + $0.3. USDT TRC20, USDT ERC20, USDT BEP20, USDC, DAI, BTC, ETH, LTC, BNB, MATIC, SOL, TRON, XRP, ADA, DOGE, XLM, AVAX: 1% + $0.5</t>
  </si>
  <si>
    <t>USDT TRC20: 1% + gas</t>
  </si>
  <si>
    <t>https://skinsprotocol.com/</t>
  </si>
  <si>
    <t>5% off the price</t>
  </si>
  <si>
    <t>Credit/Debit cards, USDC BASE: 0%</t>
  </si>
  <si>
    <t>SEPA, PayPal, Revolut: 1%. USDC BASE: 0%</t>
  </si>
  <si>
    <t>https://dupe.fi/</t>
  </si>
  <si>
    <t>30% off trade fees for 30 days + 100 points</t>
  </si>
  <si>
    <t>https://dupe.fi/r/skinradar</t>
  </si>
  <si>
    <t>skinradar</t>
  </si>
  <si>
    <t>USDC: 0%</t>
  </si>
  <si>
    <t>https://skinthunder.com/</t>
  </si>
  <si>
    <t>1-3%</t>
  </si>
  <si>
    <t>0-3.99%</t>
  </si>
  <si>
    <t>https://skinthunder.com/?ref=UAZEUEDK</t>
  </si>
  <si>
    <t>Credit/Debit cards: 3.99% + $1. Skrill: 3.9% + $1. USDT ERC20: Variable. USDT TRC20, Kinguin: 0%</t>
  </si>
  <si>
    <t>Top1</t>
  </si>
  <si>
    <t>Bank transfer: 3% + $10. USDT ERC20: 3% + $5. USDT TRC20: 3% + $1</t>
  </si>
  <si>
    <t>Top2</t>
  </si>
  <si>
    <t>https://haloskins.com/</t>
  </si>
  <si>
    <t>Top3</t>
  </si>
  <si>
    <t>Top4</t>
  </si>
  <si>
    <t>Top5</t>
  </si>
  <si>
    <t>Insta-Sell</t>
  </si>
  <si>
    <t>USA - 11%</t>
  </si>
  <si>
    <t>Germany - 6%</t>
  </si>
  <si>
    <t>Russia - 4%</t>
  </si>
  <si>
    <t>Georgia - 4%</t>
  </si>
  <si>
    <t>Kazakhstan - 4%</t>
  </si>
  <si>
    <t>0.5-$15</t>
  </si>
  <si>
    <t>https://www.haloskins.com/?channelCode=Skinradar</t>
  </si>
  <si>
    <t>USA - 15%</t>
  </si>
  <si>
    <t>Poland - 8%</t>
  </si>
  <si>
    <t>Turkey - 5%</t>
  </si>
  <si>
    <t>Denmark - 4%</t>
  </si>
  <si>
    <t>USDT Cryptomus: 1%. SEPA: 2%+$0.26. Credit/Debit cards: 0%. Bank transfer: 1%+$0.26. USDT TRC20: 1%+$5. USDT BEP20: 1%. USDT ERC20: 1%+$15. USDC TRC20: 1%+$5. USDC BEP20: 1%. USDC ERC20: 1%+$15</t>
  </si>
  <si>
    <t>USDC BEP20: 0.005%+$0.5. USDC ERC20: 0.005%+$15. USDC TRC20: 0.01%+$5. USDT BEP20: 0.005%+$0.5. USDT ERC20: 0.005%+$15. USDT TRC20: 0.01%+$5</t>
  </si>
  <si>
    <t>Deposit fees</t>
  </si>
  <si>
    <t>https://skinsmonkey.com/</t>
  </si>
  <si>
    <t>Withdraw fees</t>
  </si>
  <si>
    <t>Payment options (deposit minus skins)</t>
  </si>
  <si>
    <t>USA - 9%</t>
  </si>
  <si>
    <t>Finland - 8%</t>
  </si>
  <si>
    <t>Poland - 4%</t>
  </si>
  <si>
    <t>Germany - 5%</t>
  </si>
  <si>
    <t>Georgia - 5%</t>
  </si>
  <si>
    <t>26% trade mode</t>
  </si>
  <si>
    <t>-10% trade</t>
  </si>
  <si>
    <t>7-10%</t>
  </si>
  <si>
    <t>marketplace, bot trading, insta-sell</t>
  </si>
  <si>
    <t>8.5-13% trading</t>
  </si>
  <si>
    <t>Germany - 20%</t>
  </si>
  <si>
    <t>0-3.1%</t>
  </si>
  <si>
    <t>Poland - 9%</t>
  </si>
  <si>
    <t>Sweden - 6%</t>
  </si>
  <si>
    <t>Denmark - 5%</t>
  </si>
  <si>
    <t>Bank transfer (ZEN), Payop: 5% + $0.5. Credit/Debit cards: 2% + $0.1. BTC, LTC, ETH, USDT ERC20, USDC ERC20, DOGE, Kinguin: 0%. Neteller: 5% + $0.25. Google Pay, Apple Pay: 3% + $0.25</t>
  </si>
  <si>
    <t>https://market.csgo.com/</t>
  </si>
  <si>
    <t>Poland - 19%</t>
  </si>
  <si>
    <t>Portugal - 16%</t>
  </si>
  <si>
    <t>Hong Kong - 14%</t>
  </si>
  <si>
    <t>Russia - 7%</t>
  </si>
  <si>
    <t>0-3.5%</t>
  </si>
  <si>
    <t>~3.5%</t>
  </si>
  <si>
    <t>3-6%</t>
  </si>
  <si>
    <t>Russia - 84%</t>
  </si>
  <si>
    <t>Ukraine - 3%</t>
  </si>
  <si>
    <t>Kazakhstan - 3%</t>
  </si>
  <si>
    <t>Belarus - 2%</t>
  </si>
  <si>
    <t>Netherlands - 1%</t>
  </si>
  <si>
    <t>Crypto: 0%. Credit/Debit cards, Alipay, Bancontact, Cash App pay, iDeal, Link, WeChat pay: 3.1%</t>
  </si>
  <si>
    <t>Credit/Debit cards, Google Pay, BTC, Apple Pay, ETH, ZEN, TRON, Tether ERC20, Tether TRC20: ~3.5%</t>
  </si>
  <si>
    <t>Bank, Crypto: 2%. Balance, Credit/Debit Card: 0%</t>
  </si>
  <si>
    <t>Credit/Debit cards: 3% + $1.3 for &lt;$65, $5 for &gt;$65. Steam: 5%. PayPal: 5%. SEPA: 5.5% + $3.6 or 6%. BTC: 0.3% + $12.85 for &lt;$274, 5% for &gt;$274. ETH: 0.3% + $1.09 for &lt;$24, 5% for &gt;$24. Tether ERC20: 0.3% + $2.7 for &lt;$58, 5% for &gt;$58. Tether TRC20: 0.3% + $3.2 for &lt;$69, 5% for &gt;$69. TRON: 2% + $0.07 for &lt;$3, 5% for &gt;$3</t>
  </si>
  <si>
    <t>Credit/Debit Card, Alipay, Bancontact, Cash App pay, iDeal, Link, WeChat Pay, Crypto</t>
  </si>
  <si>
    <t>Russia - 15%</t>
  </si>
  <si>
    <t>Georgia - 7%</t>
  </si>
  <si>
    <t>Turkey - 7%</t>
  </si>
  <si>
    <t>USA - 6%</t>
  </si>
  <si>
    <t>5% store mode</t>
  </si>
  <si>
    <t>Brazil - 6%</t>
  </si>
  <si>
    <t>marketplace</t>
  </si>
  <si>
    <t>Rapid Transfer: 2%+0.13$. Apple pay: 3.5%+0.25$. Visa, MasterCard:3.5%+0.25$. Google Pay: 3.5% +0.25$. BTC: 2%. ETH: 2%. LTC: 2%. Uphold: 0%. Tether: 2%. USDC: 2%. Skrill: 3.9%+0.13$. Neteller:3.9%+0.13$. Other Crypto: 2%. BTC Cash: 2%. Solana: 2%. Tron: 2%. G2A gift card: 0%. Kinguin: 0%</t>
  </si>
  <si>
    <t>SEPA: 5.75$. Payoneer: 0%. BTC: 1.5%. Tether: 2%. Donate to Ukraine: 0%. ETH: 2%. LTC: 2%. Check: 3.45$. PayPal: 2% +3.3%. Uphold: 0.25$. Skrill: 1%</t>
  </si>
  <si>
    <t>Credit/Debit Card, Discover, Skrill, Crypto, G2A/Kinguin Gift Cards, Neteller, Rapid</t>
  </si>
  <si>
    <t>Russia - 73%</t>
  </si>
  <si>
    <t>Ukraine - 5%</t>
  </si>
  <si>
    <t>USA - 4%</t>
  </si>
  <si>
    <t>Finland - 2%</t>
  </si>
  <si>
    <t>Credit/Debit cards: 1%. Epay, AliPay, WeChat Pay: 0%</t>
  </si>
  <si>
    <t>USA - 18%</t>
  </si>
  <si>
    <t>Poland - 6%</t>
  </si>
  <si>
    <t>63% trade mode</t>
  </si>
  <si>
    <t>25% trade</t>
  </si>
  <si>
    <t>Sweden - 3%</t>
  </si>
  <si>
    <t>Ukraine - 14%</t>
  </si>
  <si>
    <t>Coinbase, Cryptomus, Credit/Debit cards, Google Pay, Apple Pay, ZEN, Skrill, Klarna, Qivi, Poli, PaySafeCard: 0%</t>
  </si>
  <si>
    <t>Poland - 12%</t>
  </si>
  <si>
    <t>https://skinout.gg/</t>
  </si>
  <si>
    <t>Germany - 7%</t>
  </si>
  <si>
    <t>Turkey - 4%</t>
  </si>
  <si>
    <t>6-12%</t>
  </si>
  <si>
    <t>3% store mode</t>
  </si>
  <si>
    <t>Spain - 4%</t>
  </si>
  <si>
    <t>Germany - 4%</t>
  </si>
  <si>
    <t>0-6.4%</t>
  </si>
  <si>
    <t>0-$10</t>
  </si>
  <si>
    <t>Visa, Mastercard, Apple Pay: 0%</t>
  </si>
  <si>
    <t>Credit/Debit Card</t>
  </si>
  <si>
    <t>USDT BNB, USDT ERC20, USDT TON, USDT TRON, LTC, ETH, ETH BNB, SOL, BNB, BTC, BTC BNB, TRON, TON, Kinguin: 0%. SBP: 6.4%</t>
  </si>
  <si>
    <t>USDT BNB: $0.1. USDT ETH: $2. USDT TON: $0.1. USDT TRON: $2.5. LTC: $0. ETH BNB: $0.1. ETH: $1. SOL: $0. BNB: $0.1. TON: $0.1. BTC: $10. BTC BNB: $0.1. TRON: $1. VISA MIR: 3.5% + 10₽</t>
  </si>
  <si>
    <t>Brazil - 32%</t>
  </si>
  <si>
    <t>Poland - 17%</t>
  </si>
  <si>
    <t>France - 6%</t>
  </si>
  <si>
    <t>https://skincantor.com/</t>
  </si>
  <si>
    <t>Romania - 5%</t>
  </si>
  <si>
    <t>marketplace, insta-sell</t>
  </si>
  <si>
    <t>1-5% market</t>
  </si>
  <si>
    <t>0.4-6.4%</t>
  </si>
  <si>
    <t>Poland - 22%</t>
  </si>
  <si>
    <t>Turkey - 16%</t>
  </si>
  <si>
    <t>Germany - 9%</t>
  </si>
  <si>
    <t>UK - 8%</t>
  </si>
  <si>
    <t>0.5-$7</t>
  </si>
  <si>
    <t>USDT TRC-20, USDT ERC-20, USDT TON, USDT BSC, LTC, ETH, BTC, USDC ERC-20, SOL, USDC BSC: 0%</t>
  </si>
  <si>
    <t>USDT TRC-20: 0.4%+2.99$. USDT ERC-20: 0.4%+0.17$. USDT BSC: 0.4%+0.99$. BTC: 0.4%+3.18$. ETH: 0.4%+0.08$. BNB: 0.4%+0.68$. LTC: 0.4%+0.94$. SOL: 0.4%+1.29$. USDT TON: 0.4%+0.99$. USDC ERC-20: 0.4%+0.17$</t>
  </si>
  <si>
    <t>https://skincantor.com/?code=RADAR</t>
  </si>
  <si>
    <t>Credit/Debit Card, Crypto</t>
  </si>
  <si>
    <t>LTC: $0.5. ETH, USDT TRC20, USDT ERC20: $7</t>
  </si>
  <si>
    <t>https://skins.com/</t>
  </si>
  <si>
    <t>Austria - 9%</t>
  </si>
  <si>
    <t>USA - 8%</t>
  </si>
  <si>
    <t>Germany - 8%</t>
  </si>
  <si>
    <t>Indonesia - 6%</t>
  </si>
  <si>
    <t>Brazil - 5%</t>
  </si>
  <si>
    <t>0.5-8%</t>
  </si>
  <si>
    <t>0-6%</t>
  </si>
  <si>
    <t>USA - 13%</t>
  </si>
  <si>
    <t>Poland - 10%</t>
  </si>
  <si>
    <t>Slovakia - 7%</t>
  </si>
  <si>
    <t>Czech Respublic - 6%</t>
  </si>
  <si>
    <t>Guatemala - 5%</t>
  </si>
  <si>
    <t>Credit/Debit cards, Apple Pay, Google Pay: 1.75%. Bank transfer: 0.5%. Revolut Pay: 1.08%. PayPal: 3.8%. Rapid Transfer: 3%. PaySafeCard: 10%. Skrill: 4.5%. Neteller: 4.5%. USDT, USDC, BTC, ETH, BNB, TRON, SOL, LTC, POL: 0%</t>
  </si>
  <si>
    <t>Skrill, Bank transfer, USDT, USDC, BTC, ETH, BNB, TRON, SOL, LTC, POL: 0%</t>
  </si>
  <si>
    <t>https://www.uuskins.com/</t>
  </si>
  <si>
    <t>Credit/Debit cards, CBL, Sberpay, Tpay: 5.5%. UAH: 8%. USDC ERC20, Tether ERC20, BEP20, TRC20, BTC, ETH, BNB, TON, LTC, TRON: 0.5%</t>
  </si>
  <si>
    <t>Credit/Debit cards: 3%+. CBL: 1.5%. Bank transfer: 4%. PayPal: 6%. Tether TRC20: 2.5$. Tether BEP20: 0.5$. BNB: 0.5$. Tether ERC20: 8$. ETH: 3$. TRON: 0.5$. LTC: 0.1$. SOL: 0.1$. TON: 1$. Steam: 0.5%. BTC: 5$.</t>
  </si>
  <si>
    <t>Poland - 39%</t>
  </si>
  <si>
    <t>Brazil - 17%</t>
  </si>
  <si>
    <t>USA - 5%</t>
  </si>
  <si>
    <t>Portugal - 4%</t>
  </si>
  <si>
    <t>Ukraine - 4%</t>
  </si>
  <si>
    <t>https://gamerpay.gg/</t>
  </si>
  <si>
    <t>0.9-3.2% + $0.3</t>
  </si>
  <si>
    <t>1% + $8</t>
  </si>
  <si>
    <t>8-10.5% trading</t>
  </si>
  <si>
    <t>0.1-3.75$</t>
  </si>
  <si>
    <t>https://skinflow.gg/?referral=RADAR</t>
  </si>
  <si>
    <t>Denmark - 24%</t>
  </si>
  <si>
    <t>Indonesia - 10%</t>
  </si>
  <si>
    <t>Credit/Debit cards, Apple Pay, Google Pay: 3.2% + $0.3. Crypto: 0.9%</t>
  </si>
  <si>
    <t>Bank transfer, PayPal, BTC, ETH, USDT ERC20: 1% + $8</t>
  </si>
  <si>
    <t>Switzerland - 3%</t>
  </si>
  <si>
    <t>https://ntskins.com/</t>
  </si>
  <si>
    <t>Poland - 3%</t>
  </si>
  <si>
    <t>Payoneer: 3$. PayPal: 3.75$. Volet: $0.5. LTC: $0.1. BTC: 5$. ETH: 2$. SOL: 0.1$. USDC SOL: 0.1$. USDT ERC20: 2$.</t>
  </si>
  <si>
    <t>Volet, PayPal, Crypto</t>
  </si>
  <si>
    <t>USA - 7%</t>
  </si>
  <si>
    <t>Russia - 6%</t>
  </si>
  <si>
    <t>Poland - 5%</t>
  </si>
  <si>
    <t>Up to 10% off on purchases from $5</t>
  </si>
  <si>
    <t>https://ntskins.com/p/radar/en</t>
  </si>
  <si>
    <t>Argentina - 43%</t>
  </si>
  <si>
    <t>Credit/Debit cards: 0%. Crypto: 2%. PIX: 1.5%</t>
  </si>
  <si>
    <t>UK - 11%</t>
  </si>
  <si>
    <t>Crypto, PIX: 0%</t>
  </si>
  <si>
    <t>Russia - 17%</t>
  </si>
  <si>
    <t>BTC: 1.74$ up to $175, 1% after. LTC, ETH: 1%. USDT TRC20, ERC20: 1.4$ up to $216, 0.65% after.</t>
  </si>
  <si>
    <t xml:space="preserve">Credit/Debit cards: 4% + $ 1.16. BCH, DOGE, SOL, TRX, USDT ERC20, USDT TRC20, Kinguin: 0%. BTC: 23.58$. ETH: 2.79$. LTC: 0.15$. </t>
  </si>
  <si>
    <t>USA - 20%</t>
  </si>
  <si>
    <t>Ukraine - 7%</t>
  </si>
  <si>
    <t>Brazil - 4%</t>
  </si>
  <si>
    <t>Norway - 3%</t>
  </si>
  <si>
    <t>https://balticskins.com/</t>
  </si>
  <si>
    <t>Russia - 18%</t>
  </si>
  <si>
    <t>USA - 10%</t>
  </si>
  <si>
    <t>France - 5%</t>
  </si>
  <si>
    <t>https://bitskins.com/</t>
  </si>
  <si>
    <t>5% bonus on sells</t>
  </si>
  <si>
    <t>https://balticskins.com/r/RADAR</t>
  </si>
  <si>
    <t>Whitebit code: 0%. BTC, ETH, USDC, Tether: 1%</t>
  </si>
  <si>
    <t>Bank transfer, PayPal, BTC, ETH, USDT ERC20, LTC: 0%</t>
  </si>
  <si>
    <t>Credit/Debit Card, Crypto, G2A/Kinguin Gift Cards</t>
  </si>
  <si>
    <t>https://csboard.com/</t>
  </si>
  <si>
    <t>UK - 6%</t>
  </si>
  <si>
    <t>Poland - 15%</t>
  </si>
  <si>
    <t>Russia - 12%</t>
  </si>
  <si>
    <t>2% to 4$</t>
  </si>
  <si>
    <t>$0.49-5%+$4</t>
  </si>
  <si>
    <t>Turkey - 9%</t>
  </si>
  <si>
    <t>-10% for Premium</t>
  </si>
  <si>
    <t>https://csboard.com/r/skinradar</t>
  </si>
  <si>
    <t>PayPal: 2%. BTC: 4$. ETH: 2$. LTC: 0.1$</t>
  </si>
  <si>
    <t>USDT TRC20, USDT TON, USDT BEP20, USDT SOL, USDT ERC20, USDC ERC20, USDC BEP20, USDC SOL, BTC, ETH, LTC: 0%. SBP: 2%</t>
  </si>
  <si>
    <t>PayPal: 5% + $4. MIR: 3.5% + ₽4. USDC SOL, USDT TON, ETH, LTC, BTC, USDT TRC20, USDT BEP20, USDT SOL, USDC BEP20: $0.49</t>
  </si>
  <si>
    <t>Germany - 26%</t>
  </si>
  <si>
    <t>Brazil - 7%</t>
  </si>
  <si>
    <t>Czech Republic - 7%</t>
  </si>
  <si>
    <t>France - 4%</t>
  </si>
  <si>
    <t>https://skinradar.gg/cs2-skin-trading-sites</t>
  </si>
  <si>
    <t>PayPal, Bank transfer: 2.5%. Revolut: 1.5%. Tether TRC20: 1 EUR/USD + 0.5%. LTC, TRON: 0.5%. BTC: 14 EUR/USD + 0.5%. ETH: 5 EUR/USD + 0.5%</t>
  </si>
  <si>
    <t>USA - 26%</t>
  </si>
  <si>
    <t>Vietnam - 11%</t>
  </si>
  <si>
    <t>Russia - 10%</t>
  </si>
  <si>
    <t>Spain - 8%</t>
  </si>
  <si>
    <t>Russia - 66%</t>
  </si>
  <si>
    <t>Kazakhstan - 7%</t>
  </si>
  <si>
    <t>Kyrgyzstan - 5%</t>
  </si>
  <si>
    <t>1.5-2.5%</t>
  </si>
  <si>
    <t>Belarus - 4%</t>
  </si>
  <si>
    <t>Ukraine- 4%</t>
  </si>
  <si>
    <t>do a purchase or sale of €50 or more, get €5</t>
  </si>
  <si>
    <t>https://gamerpay.gg/partner/b10e1676f0</t>
  </si>
  <si>
    <t>Bank transfer: 1.5%. Credit/Debit card: 2.5%+0.7EUR. BTC, ETH, LTC, Tether: 0%</t>
  </si>
  <si>
    <t>Bank transfer: 2.5%</t>
  </si>
  <si>
    <t>Credit/Debit Card, Crypto, Bank</t>
  </si>
  <si>
    <t>Portugal - 33%</t>
  </si>
  <si>
    <t>Spain - 9%</t>
  </si>
  <si>
    <t>bot trade, insta-sell</t>
  </si>
  <si>
    <t>9-11% trading</t>
  </si>
  <si>
    <t>Germany - 75%</t>
  </si>
  <si>
    <t>USA - 22%</t>
  </si>
  <si>
    <t>Canada - 3%</t>
  </si>
  <si>
    <t>https://swap.gg/?r=s9mDjgNr5z</t>
  </si>
  <si>
    <t>Credit/Debit Card, Revolut, PayPal, Gift Cards, Crypto, SEPA, Payop, PayDo, ZEN, Skrill, Neosurf, Tazapay, Bank</t>
  </si>
  <si>
    <t>Vietnam - 7%</t>
  </si>
  <si>
    <t>Belarus - 6%</t>
  </si>
  <si>
    <t>Mongolia - 5%</t>
  </si>
  <si>
    <t>Russia - 36%</t>
  </si>
  <si>
    <t>12-14% trading</t>
  </si>
  <si>
    <t>Ukraine - 8%</t>
  </si>
  <si>
    <t>0-0.3$</t>
  </si>
  <si>
    <t>0-3.4%</t>
  </si>
  <si>
    <t>Brazil - 20%</t>
  </si>
  <si>
    <t>Credit/Debit cards: 0.3$. CashApp: 0.3$. Crypto (coinbase): 0%. Kinguin gift cards: 0%</t>
  </si>
  <si>
    <t>PayPal: 2% + 0.25$. LTC: 0%. ETH: 0.05$. Venmo: 2% + 0.25$. Prepaid card: 3.4%+3$. USDT ERC20: 0.05$. USDC ERC20: 0.05$. BTC: 0.93$</t>
  </si>
  <si>
    <t>Turkey - 6%</t>
  </si>
  <si>
    <t>Credit/Debit Card, Cashapp, Crypto, PayPal</t>
  </si>
  <si>
    <t>Russia - 81%</t>
  </si>
  <si>
    <t>Belarus - 3%</t>
  </si>
  <si>
    <t>Kazakhstan - 2%</t>
  </si>
  <si>
    <t>8-15% trading</t>
  </si>
  <si>
    <t>Brazil - 1%</t>
  </si>
  <si>
    <t>Germany - 33%</t>
  </si>
  <si>
    <t>France - 7%</t>
  </si>
  <si>
    <t>Poland - 7%</t>
  </si>
  <si>
    <t>Norway - 6%</t>
  </si>
  <si>
    <t>Austria - 4%</t>
  </si>
  <si>
    <t>PayPal: $1+2%. BTC: $1.27. ETH: $0.05. LTC: $0.01. USDT (erc): $0.23</t>
  </si>
  <si>
    <t>https://skinbid.com/</t>
  </si>
  <si>
    <t>Crypto, Kinguin Gift Cards</t>
  </si>
  <si>
    <t>Germany - 16%</t>
  </si>
  <si>
    <t>UK - 7%</t>
  </si>
  <si>
    <t>5-10.5% trading</t>
  </si>
  <si>
    <t>Greece - 5%</t>
  </si>
  <si>
    <t>2.9% + $0.25</t>
  </si>
  <si>
    <t>Turkey - 18%</t>
  </si>
  <si>
    <t>Credit/Debit cards: 2.9% + $0.25</t>
  </si>
  <si>
    <t>Argentina - 5%</t>
  </si>
  <si>
    <t>China - 39%</t>
  </si>
  <si>
    <t>Russia - 9%</t>
  </si>
  <si>
    <t>Vietnam - 5%</t>
  </si>
  <si>
    <t>Hong Kong - 5%</t>
  </si>
  <si>
    <t>Ukraine - 6%</t>
  </si>
  <si>
    <t>Russia - 5%</t>
  </si>
  <si>
    <t>Credit/Debit cards, Apple Pay, Google Pay:100$ has 3.94$ fee, lowe for higher amounts. Crypto: 1%. PayPal: 1%. Skrill, UnionPay, BTC, Neosurf, Sofort, Neteller, Trustly, Bancontact, ZEN wallet: 4%</t>
  </si>
  <si>
    <t>Payoneer: 3$. Gift cards: 0%. PayPal: 2.75% +0.5$. BTC lightning: 10%. Venmo: 2.75%. Bank transfer: 26$ (15$ for US). PayPal (tipalti): $1 + 2% up to $21($2 for US). Check: 2$. Mastercard (US): 0%. Debit card (US): 2.75%. Cash app: 2.75%. Zelle: 2.75%.. USDT ERC20: 5% + 5$</t>
  </si>
  <si>
    <t>Russia - 24%</t>
  </si>
  <si>
    <t>Credit/Debit Card, Apple Pay, Google Pay, Crypto, PayPal, Skrill, UnionPay, Neosurf, Sofort, Neteller, Trustly, Bancontact, ZEN</t>
  </si>
  <si>
    <t>Ukraine - 13%</t>
  </si>
  <si>
    <t>Ecuador - 7%</t>
  </si>
  <si>
    <t>Philippines - 4%</t>
  </si>
  <si>
    <t>Russia - 49%</t>
  </si>
  <si>
    <t>Algeria - 6%</t>
  </si>
  <si>
    <t>Unionpay: 0%. Credit/Debit cards: 0%. SEPA: 1%. BTC, LTC, BNB: 2%. TRON, Tether: 0%. TON, SOL, Tether SPL, USDC, DAI, ETH, Tether TON, AVAX, BCH, DASH, DOGE, MATIC, XMR: 1%</t>
  </si>
  <si>
    <t>Tether PRC20: 1%. TRON, Tether TRC20: 2%</t>
  </si>
  <si>
    <t>Credit/Debit Card, UnionPay, SEPA, Gift Cards, Crypto</t>
  </si>
  <si>
    <t>Mongolia - 9%</t>
  </si>
  <si>
    <t>Poland - 71%</t>
  </si>
  <si>
    <t>0-3.17%</t>
  </si>
  <si>
    <t>Czech Respublic - 4%</t>
  </si>
  <si>
    <t>https://bitskins.com/?ref_alias=RADAR</t>
  </si>
  <si>
    <t>ZEN: up to 3.17% for 100$ deposit. Credit/Debit cards: 2.7% + $0.30. BTC, ETH, LTC: 0%. BNB: 0.5%</t>
  </si>
  <si>
    <t>BTC: 25$+4%. LTC: 1$+4%. BNB: 1%. VISA: 3% + $1.1</t>
  </si>
  <si>
    <t>Credit/Debit Card, ZEN (+Skrill), G2A/Kinguin Gift Cards</t>
  </si>
  <si>
    <t>Philippines - 56%</t>
  </si>
  <si>
    <t>Australia - 3%</t>
  </si>
  <si>
    <t>Germany - 3%</t>
  </si>
  <si>
    <t>https://snipeskins.com/</t>
  </si>
  <si>
    <t>Ukraine - 93%</t>
  </si>
  <si>
    <t>Canada - 7%</t>
  </si>
  <si>
    <t>0-2.61%</t>
  </si>
  <si>
    <t>USA - 27%</t>
  </si>
  <si>
    <t>Canada - 6%</t>
  </si>
  <si>
    <t>Italy - 3%</t>
  </si>
  <si>
    <t>Russia - 11%</t>
  </si>
  <si>
    <t>Credit/Debit cards, Google Pay, Apple Pay, Skrill, Trustly: 0%. BTC: $1.57 up to $150 amount, 1% afterwards. LTC, ETH: 1%. Tether TRC20: $2.64 up to $330 amount, 0.8% afterwards. Tether ERC20: 1%</t>
  </si>
  <si>
    <t>BNB, BTC, ETH, LTC, Tether ERC20, TRC20: 5%</t>
  </si>
  <si>
    <t>Turkey - 3$</t>
  </si>
  <si>
    <t>South Korea - 3%</t>
  </si>
  <si>
    <t>Credit/Debit Card, Crypto, Kinguin Gift Cards</t>
  </si>
  <si>
    <t>USA - 17%</t>
  </si>
  <si>
    <t>Chile - 10%</t>
  </si>
  <si>
    <t>Mexico - 6%</t>
  </si>
  <si>
    <t>marketplace, P2P</t>
  </si>
  <si>
    <t>South Korea - 4%</t>
  </si>
  <si>
    <t>0-4.5%</t>
  </si>
  <si>
    <t>1.5-2%</t>
  </si>
  <si>
    <t>Russia - 25%</t>
  </si>
  <si>
    <t>USA - 14%</t>
  </si>
  <si>
    <t>UK - 5%</t>
  </si>
  <si>
    <t>Bank transfer: 1.5% + 0,30 €. BTC: 2% + 0.000012 BTC</t>
  </si>
  <si>
    <t>Brazil - 19%</t>
  </si>
  <si>
    <t>Poland - 21%</t>
  </si>
  <si>
    <t>Russia - 14%</t>
  </si>
  <si>
    <t>VISA: 1.5% + 1 EUR. MasterCard: 4% + 2.5 EUR. PayPal: 4% + 2$. Skrill: 1%. Payoneer: 1%. Bank transfer: 1% + 1 EUR. BTC, LTC, Tether TRC20&amp;ERC20, TRON, BCH, BNB, ADA, DOGE, USDC ERC20, SOL, USDCS, USDTS, USDTB: 1.5%. ETH: 1.5% + 10 EUR</t>
  </si>
  <si>
    <t>Mexico - 21%</t>
  </si>
  <si>
    <t>Russia - 20%</t>
  </si>
  <si>
    <t>Kazakhstan - 13%</t>
  </si>
  <si>
    <t>Argentina - 6%</t>
  </si>
  <si>
    <t>2% + 0.3$ to 5$</t>
  </si>
  <si>
    <t>USA - 53%</t>
  </si>
  <si>
    <t>PayPal: 2% +0.3$. ETH: 2.5$. LTC: 0.5$. BTC: 5$</t>
  </si>
  <si>
    <t>Australia - 5%</t>
  </si>
  <si>
    <t>Poland - 73%</t>
  </si>
  <si>
    <t>Russia - 27%</t>
  </si>
  <si>
    <t>12% market</t>
  </si>
  <si>
    <t>USA - 88%</t>
  </si>
  <si>
    <t>Argentina - 12%</t>
  </si>
  <si>
    <t>https://exeedme.com/</t>
  </si>
  <si>
    <t>USA - 100%</t>
  </si>
  <si>
    <t>Finland - 70%</t>
  </si>
  <si>
    <t>5% market</t>
  </si>
  <si>
    <t>Sweden - 9%</t>
  </si>
  <si>
    <t>USA - 3%</t>
  </si>
  <si>
    <t>Romania - 2%</t>
  </si>
  <si>
    <t>receive a 5% bonus in your account</t>
  </si>
  <si>
    <t>exeedme.com/?promoCode=RADAR</t>
  </si>
  <si>
    <t>Ukraine - 44%</t>
  </si>
  <si>
    <t>USA - 34%</t>
  </si>
  <si>
    <t>Credit/Debit cards, Sofort, Neosurf, blik, WeChat Pay, UnionPay: 0%</t>
  </si>
  <si>
    <t>Sweden - 21%</t>
  </si>
  <si>
    <t>Brazil - 2%</t>
  </si>
  <si>
    <t>Visa, Sofort, Neosurf, blik, WeChat Pay, Union Pay</t>
  </si>
  <si>
    <t>https://csgopaka.com/</t>
  </si>
  <si>
    <t>USA - 31%</t>
  </si>
  <si>
    <t>store</t>
  </si>
  <si>
    <t>USA - 28%</t>
  </si>
  <si>
    <t>Poland - 11%</t>
  </si>
  <si>
    <t>Germany - 10%</t>
  </si>
  <si>
    <t>https://csgopaka.com/ref/radar</t>
  </si>
  <si>
    <t>USA - 42%</t>
  </si>
  <si>
    <t>Uzbekistan - 41%</t>
  </si>
  <si>
    <t>Ukraine - 10%</t>
  </si>
  <si>
    <t>Netherlands - 7%</t>
  </si>
  <si>
    <t>Brazil - 100%</t>
  </si>
  <si>
    <t>Dota 2, TF2, Rust, H1Z1</t>
  </si>
  <si>
    <t>SimPay, Multi Game Cards, BTC, LTC, BCC, BCH, DASH, ETC, ETH, LSK, Kinguin, Cryptomus, G2A: 0%</t>
  </si>
  <si>
    <t>https://sellpixels.gg/</t>
  </si>
  <si>
    <t>Russia - 26%</t>
  </si>
  <si>
    <t>USA - 21%</t>
  </si>
  <si>
    <t>United Kingdom - 7%</t>
  </si>
  <si>
    <t>USA - 37%</t>
  </si>
  <si>
    <t>0-3.9$</t>
  </si>
  <si>
    <t>Mexico - 25%</t>
  </si>
  <si>
    <t>3% bonus for your items</t>
  </si>
  <si>
    <t>Israel - 11%</t>
  </si>
  <si>
    <t>Philippines - 10%</t>
  </si>
  <si>
    <t>Saudi Arabia - 8%</t>
  </si>
  <si>
    <t>ETH: 0.0003$ + gas fee. BTC: 00027129$ + gas fee. Tether ETH: 3.9$ + gas fee. Tether TRON: 0.85$ + gas fee. LTC: 0$ + gas fee</t>
  </si>
  <si>
    <t>Russia - 16%</t>
  </si>
  <si>
    <t>Belgium - 5%</t>
  </si>
  <si>
    <t>Credit/Debit cards: 3.99% + 1$. Skrill: 3.9% + 1$. USDT ERC20: Variable. USDT TRC20: 0%</t>
  </si>
  <si>
    <t>Bank transfer: 3% + 10$. USDT ERC20: 3% + 5$. USDT TRC20: 3% + 1$</t>
  </si>
  <si>
    <t>Credit/Debit cards: 2.8% + 0.3$. USDC, USDP: 1%. iDeal: 1.8% +0.29 EUR</t>
  </si>
  <si>
    <t>Credit/Debit cards/ Bank transfer, USDC ERC-20: 0.5-2.5%</t>
  </si>
  <si>
    <t>Credit/Debit Card, Crypto, Bank Transfer, iDeal</t>
  </si>
  <si>
    <t>3.5% + $0.15</t>
  </si>
  <si>
    <t>Credit/Debit cards: 3.5% + $0.15</t>
  </si>
  <si>
    <t>7-19% trading</t>
  </si>
  <si>
    <t>4.2% + 0.3$</t>
  </si>
  <si>
    <t>Credit/Debit cards: 4.2% + 0.3$</t>
  </si>
  <si>
    <t>Credit/Debit Card, PayPal, Google Pay, Apple Pay, Neteller, Crypto</t>
  </si>
  <si>
    <t>7-10% trading</t>
  </si>
  <si>
    <t>0-5%+0.5$</t>
  </si>
  <si>
    <t>Revolut, Payop: 5% + 0.5$. Credit/Debit cards, Apple Pay, Google Pay: 3% + 0.25$. BTC, LTC, ETH, USDT, USDC, DOGE: 0%. Neteller: 5% + 0.25$</t>
  </si>
  <si>
    <t>Credit/Debit Card, Crypto, Apple Pay, Google Pay, Gift Cards, Revolut, Stripe, Zen, Payop, Neteller</t>
  </si>
  <si>
    <t xml:space="preserve">2% + $0.07-6% </t>
  </si>
  <si>
    <t>Credit/Debit cards: 3% + $1.3 for  &lt;65$, 5$ for &gt;65$. Steam: 5%. PayPal: 5%. SEPA: 5.5% + $3.6 or 6%. BTC: 0.3% + 12.85$ for &lt;274$, 5% for &gt;274%. ETH: 0.3% + $1.09 for &lt;24$, 5% for &gt;24$. Tether ERC20: 0.3% + 2.7$ for &lt;58$, 5% for &gt;58$. Tether TRC20: 0.3% + 3.2$ for &lt;69$, 5% for &gt;69$. TRON: 2% + 0.07$ for &lt;3$, 5% for &gt;3$</t>
  </si>
  <si>
    <t>Credit/Debit Card, Google Pay, Apple Pay, ZEN</t>
  </si>
  <si>
    <t>0%-5%+0.35EUR</t>
  </si>
  <si>
    <t>Bank transfer (sepa/swift): free. Klarna: 5%. Credit/Debit cards: 5% + 0.35 EUR. iDeal: 5%</t>
  </si>
  <si>
    <t>Credit/Debit Card, Google Pay</t>
  </si>
  <si>
    <t>P2P, auction, marketplace with bots</t>
  </si>
  <si>
    <t>0-4%</t>
  </si>
  <si>
    <t>3.5-8%</t>
  </si>
  <si>
    <t>0%-3%</t>
  </si>
  <si>
    <t>Credit/Debit cards: 0%. Union Pay: 3%. American Express: 4%. JCB: 3%. Alipay: 3%. Twint: 2.5%. BLIK: 1.5%. MBWay: 1.5%. Bancontact: 1%. MobilePay, Carte Bancaire, iDeal: 0%</t>
  </si>
  <si>
    <t>Bank transfer: 0-3%</t>
  </si>
  <si>
    <t>0-5% market</t>
  </si>
  <si>
    <t>0%-4.04%+0.2$</t>
  </si>
  <si>
    <t>PayPal, blik, Sofort, UnionPay, WeChat, PagSeguro, MB: 0%. Credit/Debit cards: 3% + 0.28$. Skrill, Neteller: 3.25% + 0.33$. Alipay: 3%. BTC, ETH, USDT TRC20, ERC20, BCH, LTC, SOL, USDT TON, USDC ERC20, XRP: 0%</t>
  </si>
  <si>
    <t>Credit/Debit cards: 4% + 0.23$. SEPA: 0%. BTC: 0.4% + 10.83$. ETH: 0.4% + 2.19$. USDT TRC20: 0.4% + 1$. USDT ERC20: 0.4% + 2.27$. BCH: 0.4% + 1.11$. LTC: 0.4% + 0.11$. SOL: 0.4% + 0.18$. USDT TON: 0.4% + 1$. USDC ERC20: 0.4% + 2.24$. XRP: 0.4% + 1.35$</t>
  </si>
  <si>
    <t>Visa, ZEN, Skrill, Neteller, Alipay, Crypto</t>
  </si>
  <si>
    <t>Epay, Alipay, WeChat pay</t>
  </si>
  <si>
    <t>marketplace, bot trading</t>
  </si>
  <si>
    <t>8% trading</t>
  </si>
  <si>
    <t>Credit/Debit Card, PayPal, Kinguin Gift Cards, Trustly, Neteller, Skrill, Neosurf, ZEN</t>
  </si>
  <si>
    <t>5-10% trading</t>
  </si>
  <si>
    <t>Crypto (Coinbase, Binance, Cryptomus, ZEN (Credit/Debit Cards, Google/Apple Pay, Skrill), Payop, Alikasa</t>
  </si>
  <si>
    <t>13% trading</t>
  </si>
  <si>
    <t>0$-3$</t>
  </si>
  <si>
    <t>Credit/Debit cards, Neteller, Neosurf, Skrill, Google Pay, Sofort, Trustly, Kinguin, blik, BTC, ETH, LTC, DOGE, USDT ERC20, USDT TRC20, USDC ERC20, TRX: 0%</t>
  </si>
  <si>
    <t>BTC: 1.8$. ETH: 0.11$. USDT ERC20: 0.33$. USDC ERC20: 0.33$. LTC: 0$. TRON: 0.23$. USDT TRC20: 3$</t>
  </si>
  <si>
    <t>Credit/Debit Card, Skrill, Google Pay, Trustly, Sofort, iDeal, Bank Transfer, Gift Cards, Crypto</t>
  </si>
  <si>
    <t>3-7%</t>
  </si>
  <si>
    <t>0%-2%+0.26$</t>
  </si>
  <si>
    <t>USDT Cryptomus: 1%. SEPA: 2%+0.26$. Credit/Debit cards: 0%. Bank transfer: 1%+0.26$. USDT TRC20: 1%+5$. USDT BEP20: 1%. USDT ERC20: 1%+15$. USDC TRC20: 1%+5$. USDC BEP20: 1%. USDC ERC20: 1%+15$</t>
  </si>
  <si>
    <t>0$-10$</t>
  </si>
  <si>
    <t>Credit/Debit cards: 7.5%. USDT BNB, USDT ERC20, USDT TON, USDT TRON, LTC, ETH, ETH BNB, SOL, BNB, BTC, BTC BNB, TRX, TON, Kinguin: 0%. SBP: 6.4%</t>
  </si>
  <si>
    <t>USDT BNB: 0.1$. USDT ETH: 2$. USDT TON: 0.1$. USDT TRON: 2.5$. LTC: 0$. ETH BNB: 0.1$. ETH: 1$. SOL: 0$. BNB: 0.1$. TON: 0.1$. BTC: 10$. BTC BNB: 0.1$. TRON: 1$. VISA MIR: 3.5% + 10₽</t>
  </si>
  <si>
    <t>https://swapx.gg/</t>
  </si>
  <si>
    <t>0.1-7$</t>
  </si>
  <si>
    <t>USDT TRC20: $2.5. blink: $0.1.. ETH: $7. BTC: $3. USDC ERC20: $7. USDT ERC20: $7. USDT BEP20: $0.1</t>
  </si>
  <si>
    <t>0.5-7$</t>
  </si>
  <si>
    <t>LTC: 0.5$. ETH, USDT TRC20, USDT ERC20: 7$</t>
  </si>
  <si>
    <t>bolded are fees undisclosed by website, used AK Slate FT to measure fees instead</t>
  </si>
  <si>
    <t>% insta sell = how much a site pays for a skin compared to Steam value</t>
  </si>
  <si>
    <t>I have converted this spreadsheet into a site if you prefer using that:</t>
  </si>
  <si>
    <t>https://skinradar.gg/</t>
  </si>
  <si>
    <t>https://www.rustytrade.com/</t>
  </si>
  <si>
    <t>7-18%</t>
  </si>
  <si>
    <t>https://sih.app/</t>
  </si>
  <si>
    <t>Credit/Debit cards: 3%+0.25$. Kinguin: 5%+0.15 EUR. BTC, ETH, TRON, BCH, DAI Polygon, USDC Polygon, USDT Polygon, BUSD ETH, DAI ETH, Polygon MATIC, USDC TRC20, LTC, Monero, DOGE, DASH, BNB DAI,  BNB, BNB BUSD: 1%. USDT TRC20, USDT ERC20, USDC ERC20, USDT SOL, USDC SOL, USDT BSC, USDC BSC: 0%</t>
  </si>
  <si>
    <t>Bank transfer: 1.5%. Credit/Debit card: 2.5%+0.7 EUR. BTC, ETH, LTC, Tether: ~2%</t>
  </si>
  <si>
    <t>TF2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</si>
</sst>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quot;$&quot;"/>
    <numFmt numFmtId="166" formatCode="&quot;$&quot;#,##0"/>
  </numFmts>
  <fonts count="13">
    <font>
      <sz val="10.0"/>
      <color rgb="FF000000"/>
      <name val="Arial"/>
      <scheme val="minor"/>
    </font>
    <font>
      <b/>
      <color theme="1"/>
      <name val="Arial"/>
    </font>
    <font>
      <b/>
      <color theme="1"/>
      <name val="Arial"/>
      <scheme val="minor"/>
    </font>
    <font>
      <u/>
      <color rgb="FF0000FF"/>
      <name val="Arial"/>
    </font>
    <font>
      <color theme="1"/>
      <name val="Arial"/>
    </font>
    <font>
      <u/>
      <color rgb="FF0000FF"/>
      <name val="Arial"/>
    </font>
    <font>
      <color theme="1"/>
      <name val="Arial"/>
      <scheme val="minor"/>
    </font>
    <font>
      <u/>
      <color rgb="FF1155CC"/>
      <name val="Arial"/>
    </font>
    <font>
      <u/>
      <color rgb="FF1155CC"/>
      <name val="Arial"/>
    </font>
    <font>
      <u/>
      <color rgb="FF0000FF"/>
    </font>
    <font>
      <u/>
      <color rgb="FF0000FF"/>
    </font>
    <font>
      <u/>
      <color rgb="FF0000FF"/>
      <name val="Arial"/>
    </font>
    <font>
      <u/>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center" vertical="bottom"/>
    </xf>
    <xf borderId="0" fillId="0" fontId="1" numFmtId="0" xfId="0" applyAlignment="1" applyFont="1">
      <alignment horizontal="center" readingOrder="0" vertical="bottom"/>
    </xf>
    <xf borderId="0" fillId="0" fontId="1" numFmtId="0" xfId="0" applyAlignment="1" applyFont="1">
      <alignment readingOrder="0" vertical="bottom"/>
    </xf>
    <xf borderId="0" fillId="0" fontId="2" numFmtId="0" xfId="0" applyAlignment="1" applyFont="1">
      <alignment readingOrder="0"/>
    </xf>
    <xf borderId="0" fillId="0" fontId="3" numFmtId="0" xfId="0" applyAlignment="1" applyFont="1">
      <alignment readingOrder="0" vertical="bottom"/>
    </xf>
    <xf borderId="0" fillId="0" fontId="4" numFmtId="0" xfId="0" applyAlignment="1" applyFont="1">
      <alignment readingOrder="0" vertical="bottom"/>
    </xf>
    <xf borderId="0" fillId="0" fontId="4" numFmtId="9" xfId="0" applyAlignment="1" applyFont="1" applyNumberFormat="1">
      <alignment horizontal="center" vertical="bottom"/>
    </xf>
    <xf borderId="0" fillId="0" fontId="4" numFmtId="0" xfId="0" applyAlignment="1" applyFont="1">
      <alignment horizontal="center" readingOrder="0" vertical="bottom"/>
    </xf>
    <xf borderId="0" fillId="0" fontId="4" numFmtId="0" xfId="0" applyAlignment="1" applyFont="1">
      <alignment vertical="bottom"/>
    </xf>
    <xf borderId="0" fillId="0" fontId="4" numFmtId="0" xfId="0" applyAlignment="1" applyFont="1">
      <alignment horizontal="center" vertical="bottom"/>
    </xf>
    <xf borderId="0" fillId="0" fontId="4" numFmtId="0" xfId="0" applyAlignment="1" applyFont="1">
      <alignment horizontal="right" readingOrder="0" vertical="bottom"/>
    </xf>
    <xf borderId="0" fillId="0" fontId="4" numFmtId="9" xfId="0" applyAlignment="1" applyFont="1" applyNumberFormat="1">
      <alignment horizontal="right" vertical="bottom"/>
    </xf>
    <xf borderId="0" fillId="0" fontId="4" numFmtId="3" xfId="0" applyAlignment="1" applyFont="1" applyNumberFormat="1">
      <alignment horizontal="right" vertical="bottom"/>
    </xf>
    <xf borderId="0" fillId="0" fontId="4" numFmtId="3" xfId="0" applyAlignment="1" applyFont="1" applyNumberFormat="1">
      <alignment readingOrder="0" vertical="bottom"/>
    </xf>
    <xf borderId="0" fillId="0" fontId="4" numFmtId="0" xfId="0" applyAlignment="1" applyFont="1">
      <alignment horizontal="center" vertical="bottom"/>
    </xf>
    <xf borderId="0" fillId="0" fontId="5" numFmtId="0" xfId="0" applyAlignment="1" applyFont="1">
      <alignment readingOrder="0" vertical="bottom"/>
    </xf>
    <xf borderId="0" fillId="0" fontId="4" numFmtId="0" xfId="0" applyAlignment="1" applyFont="1">
      <alignment horizontal="right" vertical="bottom"/>
    </xf>
    <xf borderId="0" fillId="0" fontId="4" numFmtId="3" xfId="0" applyAlignment="1" applyFont="1" applyNumberFormat="1">
      <alignment horizontal="right" readingOrder="0" vertical="bottom"/>
    </xf>
    <xf borderId="0" fillId="0" fontId="6" numFmtId="0" xfId="0" applyAlignment="1" applyFont="1">
      <alignment readingOrder="0"/>
    </xf>
    <xf borderId="0" fillId="0" fontId="6" numFmtId="0" xfId="0" applyAlignment="1" applyFont="1">
      <alignment horizontal="center" readingOrder="0"/>
    </xf>
    <xf borderId="0" fillId="0" fontId="4" numFmtId="9" xfId="0" applyAlignment="1" applyFont="1" applyNumberFormat="1">
      <alignment horizontal="center" readingOrder="0" vertical="bottom"/>
    </xf>
    <xf borderId="0" fillId="0" fontId="7" numFmtId="0" xfId="0" applyAlignment="1" applyFont="1">
      <alignment readingOrder="0" vertical="bottom"/>
    </xf>
    <xf borderId="0" fillId="0" fontId="8" numFmtId="0" xfId="0" applyAlignment="1" applyFont="1">
      <alignment vertical="bottom"/>
    </xf>
    <xf borderId="0" fillId="0" fontId="4" numFmtId="164" xfId="0" applyAlignment="1" applyFont="1" applyNumberFormat="1">
      <alignment horizontal="right" vertical="bottom"/>
    </xf>
    <xf borderId="0" fillId="0" fontId="4" numFmtId="164" xfId="0" applyAlignment="1" applyFont="1" applyNumberFormat="1">
      <alignment horizontal="right" readingOrder="0" vertical="bottom"/>
    </xf>
    <xf borderId="0" fillId="0" fontId="4" numFmtId="165" xfId="0" applyAlignment="1" applyFont="1" applyNumberFormat="1">
      <alignment horizontal="center" readingOrder="0" vertical="bottom"/>
    </xf>
    <xf borderId="0" fillId="0" fontId="6" numFmtId="0" xfId="0" applyFont="1"/>
    <xf borderId="0" fillId="0" fontId="4" numFmtId="10" xfId="0" applyAlignment="1" applyFont="1" applyNumberFormat="1">
      <alignment horizontal="center" vertical="bottom"/>
    </xf>
    <xf borderId="0" fillId="0" fontId="6" numFmtId="9" xfId="0" applyAlignment="1" applyFont="1" applyNumberFormat="1">
      <alignment horizontal="center" readingOrder="0"/>
    </xf>
    <xf borderId="0" fillId="0" fontId="4" numFmtId="9" xfId="0" applyAlignment="1" applyFont="1" applyNumberFormat="1">
      <alignment readingOrder="0" vertical="bottom"/>
    </xf>
    <xf borderId="0" fillId="0" fontId="4" numFmtId="0" xfId="0" applyAlignment="1" applyFont="1">
      <alignment horizontal="center" readingOrder="0" vertical="bottom"/>
    </xf>
    <xf borderId="0" fillId="0" fontId="9" numFmtId="0" xfId="0" applyAlignment="1" applyFont="1">
      <alignment readingOrder="0"/>
    </xf>
    <xf borderId="0" fillId="0" fontId="10" numFmtId="0" xfId="0" applyAlignment="1" applyFont="1">
      <alignment readingOrder="0"/>
    </xf>
    <xf borderId="0" fillId="0" fontId="6" numFmtId="3" xfId="0" applyAlignment="1" applyFont="1" applyNumberFormat="1">
      <alignment readingOrder="0"/>
    </xf>
    <xf borderId="0" fillId="0" fontId="4" numFmtId="166" xfId="0" applyAlignment="1" applyFont="1" applyNumberFormat="1">
      <alignment horizontal="center" readingOrder="0" vertical="bottom"/>
    </xf>
    <xf borderId="0" fillId="0" fontId="6" numFmtId="0" xfId="0" applyAlignment="1" applyFont="1">
      <alignment horizontal="left" readingOrder="0"/>
    </xf>
    <xf borderId="0" fillId="0" fontId="6" numFmtId="164" xfId="0" applyFont="1" applyNumberFormat="1"/>
    <xf borderId="0" fillId="0" fontId="6" numFmtId="3" xfId="0" applyFont="1" applyNumberFormat="1"/>
    <xf borderId="0" fillId="0" fontId="4" numFmtId="10" xfId="0" applyAlignment="1" applyFont="1" applyNumberFormat="1">
      <alignment horizontal="right" vertical="bottom"/>
    </xf>
    <xf borderId="0" fillId="0" fontId="4" numFmtId="9" xfId="0" applyAlignment="1" applyFont="1" applyNumberFormat="1">
      <alignment horizontal="center" readingOrder="0" vertical="bottom"/>
    </xf>
    <xf borderId="0" fillId="0" fontId="6" numFmtId="0" xfId="0" applyAlignment="1" applyFont="1">
      <alignment horizontal="center"/>
    </xf>
    <xf borderId="0" fillId="0" fontId="6" numFmtId="1" xfId="0" applyFont="1" applyNumberFormat="1"/>
    <xf borderId="0" fillId="0" fontId="2" numFmtId="0" xfId="0" applyAlignment="1" applyFont="1">
      <alignment horizontal="center" readingOrder="0"/>
    </xf>
    <xf borderId="0" fillId="0" fontId="6" numFmtId="0" xfId="0" applyAlignment="1" applyFont="1">
      <alignment horizontal="left"/>
    </xf>
    <xf borderId="0" fillId="0" fontId="6" numFmtId="9" xfId="0" applyAlignment="1" applyFont="1" applyNumberFormat="1">
      <alignment horizontal="left" readingOrder="0"/>
    </xf>
    <xf borderId="0" fillId="0" fontId="11" numFmtId="0" xfId="0" applyAlignment="1" applyFont="1">
      <alignment readingOrder="0"/>
    </xf>
    <xf borderId="0" fillId="0" fontId="4" numFmtId="0" xfId="0" applyAlignment="1" applyFont="1">
      <alignment readingOrder="0"/>
    </xf>
    <xf borderId="0" fillId="0" fontId="1" numFmtId="0" xfId="0" applyAlignment="1" applyFont="1">
      <alignment horizontal="center" readingOrder="0"/>
    </xf>
    <xf borderId="0" fillId="0" fontId="4" numFmtId="10" xfId="0" applyAlignment="1" applyFont="1" applyNumberFormat="1">
      <alignment horizontal="center" readingOrder="0"/>
    </xf>
    <xf borderId="0" fillId="0" fontId="4" numFmtId="9" xfId="0" applyAlignment="1" applyFont="1" applyNumberFormat="1">
      <alignment horizontal="center" readingOrder="0"/>
    </xf>
    <xf borderId="0" fillId="0" fontId="4" numFmtId="0" xfId="0" applyAlignment="1" applyFont="1">
      <alignment horizontal="center" readingOrder="0"/>
    </xf>
    <xf borderId="0" fillId="0" fontId="4" numFmtId="3" xfId="0" applyAlignment="1" applyFont="1" applyNumberFormat="1">
      <alignment readingOrder="0"/>
    </xf>
    <xf borderId="0" fillId="0" fontId="4" numFmtId="0" xfId="0" applyFont="1"/>
    <xf borderId="0" fillId="0" fontId="4" numFmtId="0" xfId="0" applyAlignment="1" applyFont="1">
      <alignment readingOrder="0" vertical="bottom"/>
    </xf>
    <xf borderId="0" fillId="0" fontId="6" numFmtId="10" xfId="0" applyAlignment="1" applyFont="1" applyNumberFormat="1">
      <alignment horizontal="left" readingOrder="0"/>
    </xf>
    <xf borderId="0" fillId="0" fontId="4" numFmtId="9" xfId="0" applyAlignment="1" applyFont="1" applyNumberFormat="1">
      <alignment vertical="bottom"/>
    </xf>
    <xf borderId="0" fillId="0" fontId="4" numFmtId="0" xfId="0" applyAlignment="1" applyFont="1">
      <alignment horizontal="right" vertical="bottom"/>
    </xf>
    <xf borderId="0" fillId="0" fontId="4" numFmtId="0" xfId="0" applyAlignment="1" applyFont="1">
      <alignment vertical="bottom"/>
    </xf>
    <xf borderId="0" fillId="0" fontId="6" numFmtId="10" xfId="0" applyAlignment="1" applyFont="1" applyNumberFormat="1">
      <alignment horizontal="center" readingOrder="0"/>
    </xf>
    <xf borderId="0" fillId="0" fontId="6" numFmtId="164" xfId="0" applyAlignment="1" applyFont="1" applyNumberFormat="1">
      <alignment readingOrder="0"/>
    </xf>
    <xf borderId="0" fillId="0" fontId="4" numFmtId="10" xfId="0" applyAlignment="1" applyFont="1" applyNumberFormat="1">
      <alignment horizontal="right" readingOrder="0" vertical="bottom"/>
    </xf>
    <xf borderId="0" fillId="0" fontId="6" numFmtId="9" xfId="0" applyAlignment="1" applyFont="1" applyNumberFormat="1">
      <alignment readingOrder="0"/>
    </xf>
    <xf borderId="0" fillId="0" fontId="12" numFmtId="0" xfId="0" applyAlignment="1" applyFont="1">
      <alignment readingOrder="0"/>
    </xf>
    <xf borderId="0" fillId="0" fontId="4" numFmtId="1"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buff.market/home?ref=U1093251813" TargetMode="External"/><Relationship Id="rId84" Type="http://schemas.openxmlformats.org/officeDocument/2006/relationships/hyperlink" Target="https://balticskins.com/r/RADAR" TargetMode="External"/><Relationship Id="rId83" Type="http://schemas.openxmlformats.org/officeDocument/2006/relationships/hyperlink" Target="https://balticskins.com/r/RADAR" TargetMode="External"/><Relationship Id="rId42" Type="http://schemas.openxmlformats.org/officeDocument/2006/relationships/hyperlink" Target="https://cs.trade/trade?ref=RADAR" TargetMode="External"/><Relationship Id="rId86" Type="http://schemas.openxmlformats.org/officeDocument/2006/relationships/hyperlink" Target="https://csboard.com/r/skinradar" TargetMode="External"/><Relationship Id="rId41" Type="http://schemas.openxmlformats.org/officeDocument/2006/relationships/hyperlink" Target="https://cs.trade/trade?ref=RADAR" TargetMode="External"/><Relationship Id="rId85" Type="http://schemas.openxmlformats.org/officeDocument/2006/relationships/hyperlink" Target="https://csboard.com/r/skinradar" TargetMode="External"/><Relationship Id="rId44" Type="http://schemas.openxmlformats.org/officeDocument/2006/relationships/hyperlink" Target="https://white.market/invite/9ce6858d5ef8bb9c" TargetMode="External"/><Relationship Id="rId88" Type="http://schemas.openxmlformats.org/officeDocument/2006/relationships/drawing" Target="../drawings/drawing1.xml"/><Relationship Id="rId43" Type="http://schemas.openxmlformats.org/officeDocument/2006/relationships/hyperlink" Target="https://white.market/invite/9ce6858d5ef8bb9c" TargetMode="External"/><Relationship Id="rId87" Type="http://schemas.openxmlformats.org/officeDocument/2006/relationships/hyperlink" Target="https://skinradar.gg/cs2-skin-trading-sites" TargetMode="External"/><Relationship Id="rId46" Type="http://schemas.openxmlformats.org/officeDocument/2006/relationships/hyperlink" Target="https://shadowpay.com?utm_campaign=S7OLWDWMGwMfRvP" TargetMode="External"/><Relationship Id="rId45" Type="http://schemas.openxmlformats.org/officeDocument/2006/relationships/hyperlink" Target="https://shadowpay.com/?utm_campaign=S7OLWDWMGwMfRvP" TargetMode="External"/><Relationship Id="rId89" Type="http://schemas.openxmlformats.org/officeDocument/2006/relationships/vmlDrawing" Target="../drawings/vmlDrawing1.vml"/><Relationship Id="rId80" Type="http://schemas.openxmlformats.org/officeDocument/2006/relationships/hyperlink" Target="https://ntskins.com/p/radar/en" TargetMode="External"/><Relationship Id="rId82" Type="http://schemas.openxmlformats.org/officeDocument/2006/relationships/hyperlink" Target="https://cashed.gg/r/RADAR" TargetMode="External"/><Relationship Id="rId81" Type="http://schemas.openxmlformats.org/officeDocument/2006/relationships/hyperlink" Target="https://cashed.gg/r/RADAR" TargetMode="External"/><Relationship Id="rId1" Type="http://schemas.openxmlformats.org/officeDocument/2006/relationships/comments" Target="../comments1.xml"/><Relationship Id="rId2" Type="http://schemas.openxmlformats.org/officeDocument/2006/relationships/hyperlink" Target="https://tradeit.gg/?aff=RADAR" TargetMode="External"/><Relationship Id="rId3" Type="http://schemas.openxmlformats.org/officeDocument/2006/relationships/hyperlink" Target="https://tradeit.gg/?aff=RADAR" TargetMode="External"/><Relationship Id="rId4" Type="http://schemas.openxmlformats.org/officeDocument/2006/relationships/hyperlink" Target="https://skinflow.gg/?referral=RADAR" TargetMode="External"/><Relationship Id="rId9" Type="http://schemas.openxmlformats.org/officeDocument/2006/relationships/hyperlink" Target="https://skinport.com/r/radar" TargetMode="External"/><Relationship Id="rId48" Type="http://schemas.openxmlformats.org/officeDocument/2006/relationships/hyperlink" Target="https://rapidskins.com/a/RADAR" TargetMode="External"/><Relationship Id="rId47" Type="http://schemas.openxmlformats.org/officeDocument/2006/relationships/hyperlink" Target="https://rapidskins.com/a/RADAR" TargetMode="External"/><Relationship Id="rId49" Type="http://schemas.openxmlformats.org/officeDocument/2006/relationships/hyperlink" Target="https://swap.gg/?r=PTSRMHOV" TargetMode="External"/><Relationship Id="rId5" Type="http://schemas.openxmlformats.org/officeDocument/2006/relationships/hyperlink" Target="https://skinflow.gg/?referral=RADAR" TargetMode="External"/><Relationship Id="rId6" Type="http://schemas.openxmlformats.org/officeDocument/2006/relationships/hyperlink" Target="https://skinvault.gg/?aff=RADAR" TargetMode="External"/><Relationship Id="rId7" Type="http://schemas.openxmlformats.org/officeDocument/2006/relationships/hyperlink" Target="https://skinvault.gg/?aff=RADAR" TargetMode="External"/><Relationship Id="rId8" Type="http://schemas.openxmlformats.org/officeDocument/2006/relationships/hyperlink" Target="https://skinport.com/r/radar" TargetMode="External"/><Relationship Id="rId73" Type="http://schemas.openxmlformats.org/officeDocument/2006/relationships/hyperlink" Target="https://loot.farm/" TargetMode="External"/><Relationship Id="rId72" Type="http://schemas.openxmlformats.org/officeDocument/2006/relationships/hyperlink" Target="https://buff.163.com/" TargetMode="External"/><Relationship Id="rId31" Type="http://schemas.openxmlformats.org/officeDocument/2006/relationships/hyperlink" Target="https://skin.place?utm_campaign=vVP2fTghQ1PFWcl" TargetMode="External"/><Relationship Id="rId75" Type="http://schemas.openxmlformats.org/officeDocument/2006/relationships/hyperlink" Target="https://skincantor.com/?code=RADAR" TargetMode="External"/><Relationship Id="rId30" Type="http://schemas.openxmlformats.org/officeDocument/2006/relationships/hyperlink" Target="https://skin.place/?utm_campaign=vVP2fTghQ1PFWcl" TargetMode="External"/><Relationship Id="rId74" Type="http://schemas.openxmlformats.org/officeDocument/2006/relationships/hyperlink" Target="https://skinout.gg/en" TargetMode="External"/><Relationship Id="rId33" Type="http://schemas.openxmlformats.org/officeDocument/2006/relationships/hyperlink" Target="https://sellyourskins.com/ref/RADAR" TargetMode="External"/><Relationship Id="rId77" Type="http://schemas.openxmlformats.org/officeDocument/2006/relationships/hyperlink" Target="https://skins.com/" TargetMode="External"/><Relationship Id="rId32" Type="http://schemas.openxmlformats.org/officeDocument/2006/relationships/hyperlink" Target="https://sellyourskins.com/ref/RADAR" TargetMode="External"/><Relationship Id="rId76" Type="http://schemas.openxmlformats.org/officeDocument/2006/relationships/hyperlink" Target="https://skincantor.com/?code=RADAR" TargetMode="External"/><Relationship Id="rId35" Type="http://schemas.openxmlformats.org/officeDocument/2006/relationships/hyperlink" Target="https://cs.money/market/buy/?utm_source=mediabuy&amp;utm_medium=skinradar.gg&amp;utm_campaign=market&amp;utm_content=link" TargetMode="External"/><Relationship Id="rId79" Type="http://schemas.openxmlformats.org/officeDocument/2006/relationships/hyperlink" Target="https://ntskins.com/p/radar/en" TargetMode="External"/><Relationship Id="rId34" Type="http://schemas.openxmlformats.org/officeDocument/2006/relationships/hyperlink" Target="https://rustskins.com/r/radar" TargetMode="External"/><Relationship Id="rId78" Type="http://schemas.openxmlformats.org/officeDocument/2006/relationships/hyperlink" Target="https://www.uuskins.com/" TargetMode="External"/><Relationship Id="rId71" Type="http://schemas.openxmlformats.org/officeDocument/2006/relationships/hyperlink" Target="https://skin.land/" TargetMode="External"/><Relationship Id="rId70" Type="http://schemas.openxmlformats.org/officeDocument/2006/relationships/hyperlink" Target="https://market.csgo.com/" TargetMode="External"/><Relationship Id="rId37" Type="http://schemas.openxmlformats.org/officeDocument/2006/relationships/hyperlink" Target="https://skincashier.com/r/RADAR" TargetMode="External"/><Relationship Id="rId36" Type="http://schemas.openxmlformats.org/officeDocument/2006/relationships/hyperlink" Target="https://cs.money/market/buy/?utm_source=mediabuy&amp;utm_medium=skinradar.gg&amp;utm_campaign=market&amp;utm_content=link" TargetMode="External"/><Relationship Id="rId39" Type="http://schemas.openxmlformats.org/officeDocument/2006/relationships/hyperlink" Target="https://buff.market/home?ref=U1093251813" TargetMode="External"/><Relationship Id="rId38" Type="http://schemas.openxmlformats.org/officeDocument/2006/relationships/hyperlink" Target="https://skincashier.com/r/RADAR" TargetMode="External"/><Relationship Id="rId62" Type="http://schemas.openxmlformats.org/officeDocument/2006/relationships/hyperlink" Target="https://skinsprotocol.com/" TargetMode="External"/><Relationship Id="rId61" Type="http://schemas.openxmlformats.org/officeDocument/2006/relationships/hyperlink" Target="https://exeskins.com/r/EXELH5D77VE" TargetMode="External"/><Relationship Id="rId20" Type="http://schemas.openxmlformats.org/officeDocument/2006/relationships/hyperlink" Target="https://avan.market/?r=RADAR" TargetMode="External"/><Relationship Id="rId64" Type="http://schemas.openxmlformats.org/officeDocument/2006/relationships/hyperlink" Target="https://dupe.fi/r/skinradar" TargetMode="External"/><Relationship Id="rId63" Type="http://schemas.openxmlformats.org/officeDocument/2006/relationships/hyperlink" Target="https://dupe.fi/r/skinradar" TargetMode="External"/><Relationship Id="rId22" Type="http://schemas.openxmlformats.org/officeDocument/2006/relationships/hyperlink" Target="https://mannco.store/?ref=radar" TargetMode="External"/><Relationship Id="rId66" Type="http://schemas.openxmlformats.org/officeDocument/2006/relationships/hyperlink" Target="https://skinthunder.com/?ref=UAZEUEDK" TargetMode="External"/><Relationship Id="rId21" Type="http://schemas.openxmlformats.org/officeDocument/2006/relationships/hyperlink" Target="https://avan.market/?r=RADAR" TargetMode="External"/><Relationship Id="rId65" Type="http://schemas.openxmlformats.org/officeDocument/2006/relationships/hyperlink" Target="https://skinthunder.com/?ref=UAZEUEDK" TargetMode="External"/><Relationship Id="rId24" Type="http://schemas.openxmlformats.org/officeDocument/2006/relationships/hyperlink" Target="https://itrade.gg/?ref=RADAR" TargetMode="External"/><Relationship Id="rId68" Type="http://schemas.openxmlformats.org/officeDocument/2006/relationships/hyperlink" Target="https://www.haloskins.com/?channelCode=Skinradar" TargetMode="External"/><Relationship Id="rId23" Type="http://schemas.openxmlformats.org/officeDocument/2006/relationships/hyperlink" Target="https://mannco.store/?ref=radar" TargetMode="External"/><Relationship Id="rId67" Type="http://schemas.openxmlformats.org/officeDocument/2006/relationships/hyperlink" Target="https://www.haloskins.com/?channelCode=Skinradar" TargetMode="External"/><Relationship Id="rId60" Type="http://schemas.openxmlformats.org/officeDocument/2006/relationships/hyperlink" Target="https://exeskins.com/r/EXELH5D77VE" TargetMode="External"/><Relationship Id="rId26" Type="http://schemas.openxmlformats.org/officeDocument/2006/relationships/hyperlink" Target="https://skinbaron.de/affiliate/861.html" TargetMode="External"/><Relationship Id="rId25" Type="http://schemas.openxmlformats.org/officeDocument/2006/relationships/hyperlink" Target="https://itrade.gg/?ref=RADAR" TargetMode="External"/><Relationship Id="rId69" Type="http://schemas.openxmlformats.org/officeDocument/2006/relationships/hyperlink" Target="https://skinsmonkey.com/" TargetMode="External"/><Relationship Id="rId28" Type="http://schemas.openxmlformats.org/officeDocument/2006/relationships/hyperlink" Target="https://aim.market/p/2295885f-cfbb-4b48-84ad-2b408a70a20c" TargetMode="External"/><Relationship Id="rId27" Type="http://schemas.openxmlformats.org/officeDocument/2006/relationships/hyperlink" Target="https://skinbaron.de/affiliate/861.html" TargetMode="External"/><Relationship Id="rId29" Type="http://schemas.openxmlformats.org/officeDocument/2006/relationships/hyperlink" Target="https://aim.market/p/2295885f-cfbb-4b48-84ad-2b408a70a20c" TargetMode="External"/><Relationship Id="rId51" Type="http://schemas.openxmlformats.org/officeDocument/2006/relationships/hyperlink" Target="https://skinomat.com/r/RADAR" TargetMode="External"/><Relationship Id="rId50" Type="http://schemas.openxmlformats.org/officeDocument/2006/relationships/hyperlink" Target="https://swap.gg/?r=PTSRMHOV" TargetMode="External"/><Relationship Id="rId53" Type="http://schemas.openxmlformats.org/officeDocument/2006/relationships/hyperlink" Target="https://skins.cash/user/ref/76561198051792928" TargetMode="External"/><Relationship Id="rId52" Type="http://schemas.openxmlformats.org/officeDocument/2006/relationships/hyperlink" Target="https://skinomat.com/r/RADAR" TargetMode="External"/><Relationship Id="rId11" Type="http://schemas.openxmlformats.org/officeDocument/2006/relationships/hyperlink" Target="https://csfloat.com/ref/RADAR" TargetMode="External"/><Relationship Id="rId55" Type="http://schemas.openxmlformats.org/officeDocument/2006/relationships/hyperlink" Target="https://csdeals.com/new/?ref=radar" TargetMode="External"/><Relationship Id="rId10" Type="http://schemas.openxmlformats.org/officeDocument/2006/relationships/hyperlink" Target="https://csfloat.com/ref/RADAR" TargetMode="External"/><Relationship Id="rId54" Type="http://schemas.openxmlformats.org/officeDocument/2006/relationships/hyperlink" Target="https://skins.cash/user/ref/76561198051792928" TargetMode="External"/><Relationship Id="rId13" Type="http://schemas.openxmlformats.org/officeDocument/2006/relationships/hyperlink" Target="https://dmarket.com/?ref=KMSMNF72t9" TargetMode="External"/><Relationship Id="rId57" Type="http://schemas.openxmlformats.org/officeDocument/2006/relationships/hyperlink" Target="http://waxpeer.com/r/RADAR" TargetMode="External"/><Relationship Id="rId12" Type="http://schemas.openxmlformats.org/officeDocument/2006/relationships/hyperlink" Target="https://dmarket.com/?ref=KMSMNF72t9" TargetMode="External"/><Relationship Id="rId56" Type="http://schemas.openxmlformats.org/officeDocument/2006/relationships/hyperlink" Target="https://csdeals.com/new/?ref=radar" TargetMode="External"/><Relationship Id="rId15" Type="http://schemas.openxmlformats.org/officeDocument/2006/relationships/hyperlink" Target="https://lis-skins.com/?rf=2630004" TargetMode="External"/><Relationship Id="rId59" Type="http://schemas.openxmlformats.org/officeDocument/2006/relationships/hyperlink" Target="https://www.skinsauna.gg/" TargetMode="External"/><Relationship Id="rId14" Type="http://schemas.openxmlformats.org/officeDocument/2006/relationships/hyperlink" Target="https://lis-skins.com/?rf=2630004" TargetMode="External"/><Relationship Id="rId58" Type="http://schemas.openxmlformats.org/officeDocument/2006/relationships/hyperlink" Target="http://waxpeer.com/r/RADAR" TargetMode="External"/><Relationship Id="rId17" Type="http://schemas.openxmlformats.org/officeDocument/2006/relationships/hyperlink" Target="https://pirateswap.com/?ref=radar" TargetMode="External"/><Relationship Id="rId16" Type="http://schemas.openxmlformats.org/officeDocument/2006/relationships/hyperlink" Target="https://pirateswap.com/?ref=radar" TargetMode="External"/><Relationship Id="rId19" Type="http://schemas.openxmlformats.org/officeDocument/2006/relationships/hyperlink" Target="https://skinswap.com/r/radar" TargetMode="External"/><Relationship Id="rId18" Type="http://schemas.openxmlformats.org/officeDocument/2006/relationships/hyperlink" Target="https://skinswap.com/r/radar"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swap.gg/?r=PTSRMHOV" TargetMode="External"/><Relationship Id="rId42" Type="http://schemas.openxmlformats.org/officeDocument/2006/relationships/hyperlink" Target="https://cs.trade/trade?ref=RADAR" TargetMode="External"/><Relationship Id="rId41" Type="http://schemas.openxmlformats.org/officeDocument/2006/relationships/hyperlink" Target="https://swap.gg/?r=PTSRMHOV" TargetMode="External"/><Relationship Id="rId44" Type="http://schemas.openxmlformats.org/officeDocument/2006/relationships/hyperlink" Target="https://cashed.gg/r/RADAR" TargetMode="External"/><Relationship Id="rId43" Type="http://schemas.openxmlformats.org/officeDocument/2006/relationships/hyperlink" Target="https://cs.trade/trade?ref=RADAR" TargetMode="External"/><Relationship Id="rId46" Type="http://schemas.openxmlformats.org/officeDocument/2006/relationships/hyperlink" Target="https://skinradar.gg/rust-trading-sites" TargetMode="External"/><Relationship Id="rId45" Type="http://schemas.openxmlformats.org/officeDocument/2006/relationships/hyperlink" Target="https://cashed.gg/r/RADAR" TargetMode="External"/><Relationship Id="rId1" Type="http://schemas.openxmlformats.org/officeDocument/2006/relationships/comments" Target="../comments2.xml"/><Relationship Id="rId2" Type="http://schemas.openxmlformats.org/officeDocument/2006/relationships/hyperlink" Target="https://skinswap.com/r/radar" TargetMode="External"/><Relationship Id="rId3" Type="http://schemas.openxmlformats.org/officeDocument/2006/relationships/hyperlink" Target="https://skinswap.com/r/radar" TargetMode="External"/><Relationship Id="rId4" Type="http://schemas.openxmlformats.org/officeDocument/2006/relationships/hyperlink" Target="https://dmarket.com/?ref=KMSMNF72t9" TargetMode="External"/><Relationship Id="rId9" Type="http://schemas.openxmlformats.org/officeDocument/2006/relationships/hyperlink" Target="https://skinport.com/r/radar" TargetMode="External"/><Relationship Id="rId48" Type="http://schemas.openxmlformats.org/officeDocument/2006/relationships/vmlDrawing" Target="../drawings/vmlDrawing2.vml"/><Relationship Id="rId47" Type="http://schemas.openxmlformats.org/officeDocument/2006/relationships/drawing" Target="../drawings/drawing2.xml"/><Relationship Id="rId5" Type="http://schemas.openxmlformats.org/officeDocument/2006/relationships/hyperlink" Target="https://dmarket.com?ref=KMSMNF72t9" TargetMode="External"/><Relationship Id="rId6" Type="http://schemas.openxmlformats.org/officeDocument/2006/relationships/hyperlink" Target="https://tradeit.gg/?aff=RADAR" TargetMode="External"/><Relationship Id="rId7" Type="http://schemas.openxmlformats.org/officeDocument/2006/relationships/hyperlink" Target="https://tradeit.gg/?aff=RADAR" TargetMode="External"/><Relationship Id="rId8" Type="http://schemas.openxmlformats.org/officeDocument/2006/relationships/hyperlink" Target="https://skinport.com/r/radar" TargetMode="External"/><Relationship Id="rId31" Type="http://schemas.openxmlformats.org/officeDocument/2006/relationships/hyperlink" Target="http://waxpeer.com/r/RADAR" TargetMode="External"/><Relationship Id="rId30" Type="http://schemas.openxmlformats.org/officeDocument/2006/relationships/hyperlink" Target="http://waxpeer.com/r/RADAR" TargetMode="External"/><Relationship Id="rId33" Type="http://schemas.openxmlformats.org/officeDocument/2006/relationships/hyperlink" Target="https://shadowpay.com?utm_campaign=S7OLWDWMGwMfRvP" TargetMode="External"/><Relationship Id="rId32" Type="http://schemas.openxmlformats.org/officeDocument/2006/relationships/hyperlink" Target="https://shadowpay.com/?utm_campaign=S7OLWDWMGwMfRvP" TargetMode="External"/><Relationship Id="rId35" Type="http://schemas.openxmlformats.org/officeDocument/2006/relationships/hyperlink" Target="https://csdeals.com/new/?ref=radar" TargetMode="External"/><Relationship Id="rId34" Type="http://schemas.openxmlformats.org/officeDocument/2006/relationships/hyperlink" Target="https://csdeals.com/new/?ref=radar" TargetMode="External"/><Relationship Id="rId37" Type="http://schemas.openxmlformats.org/officeDocument/2006/relationships/hyperlink" Target="https://skins.cash/user/ref/76561198051792928" TargetMode="External"/><Relationship Id="rId36" Type="http://schemas.openxmlformats.org/officeDocument/2006/relationships/hyperlink" Target="https://skins.cash/user/ref/76561198051792928" TargetMode="External"/><Relationship Id="rId39" Type="http://schemas.openxmlformats.org/officeDocument/2006/relationships/hyperlink" Target="https://loot.farm/" TargetMode="External"/><Relationship Id="rId38" Type="http://schemas.openxmlformats.org/officeDocument/2006/relationships/hyperlink" Target="https://skin.land/" TargetMode="External"/><Relationship Id="rId20" Type="http://schemas.openxmlformats.org/officeDocument/2006/relationships/hyperlink" Target="https://aim.market/p/2295885f-cfbb-4b48-84ad-2b408a70a20c" TargetMode="External"/><Relationship Id="rId22" Type="http://schemas.openxmlformats.org/officeDocument/2006/relationships/hyperlink" Target="https://skin.place/?utm_campaign=vVP2fTghQ1PFWcl" TargetMode="External"/><Relationship Id="rId21" Type="http://schemas.openxmlformats.org/officeDocument/2006/relationships/hyperlink" Target="https://aim.market/p/2295885f-cfbb-4b48-84ad-2b408a70a20c" TargetMode="External"/><Relationship Id="rId24" Type="http://schemas.openxmlformats.org/officeDocument/2006/relationships/hyperlink" Target="https://sellyourskins.com/ref/RADAR" TargetMode="External"/><Relationship Id="rId23" Type="http://schemas.openxmlformats.org/officeDocument/2006/relationships/hyperlink" Target="https://skin.place?utm_campaign=vVP2fTghQ1PFWcl" TargetMode="External"/><Relationship Id="rId26" Type="http://schemas.openxmlformats.org/officeDocument/2006/relationships/hyperlink" Target="https://skincashier.com/r/RADAR" TargetMode="External"/><Relationship Id="rId25" Type="http://schemas.openxmlformats.org/officeDocument/2006/relationships/hyperlink" Target="https://sellyourskins.com/ref/RADAR" TargetMode="External"/><Relationship Id="rId28" Type="http://schemas.openxmlformats.org/officeDocument/2006/relationships/hyperlink" Target="https://rapidskins.com/a/RADAR" TargetMode="External"/><Relationship Id="rId27" Type="http://schemas.openxmlformats.org/officeDocument/2006/relationships/hyperlink" Target="https://skincashier.com/r/RADAR" TargetMode="External"/><Relationship Id="rId29" Type="http://schemas.openxmlformats.org/officeDocument/2006/relationships/hyperlink" Target="https://rapidskins.com/a/RADAR" TargetMode="External"/><Relationship Id="rId11" Type="http://schemas.openxmlformats.org/officeDocument/2006/relationships/hyperlink" Target="https://lis-skins.com/?rf=2630004" TargetMode="External"/><Relationship Id="rId10" Type="http://schemas.openxmlformats.org/officeDocument/2006/relationships/hyperlink" Target="https://lis-skins.com/?rf=2630004" TargetMode="External"/><Relationship Id="rId13" Type="http://schemas.openxmlformats.org/officeDocument/2006/relationships/hyperlink" Target="https://avan.market/?r=RADAR" TargetMode="External"/><Relationship Id="rId12" Type="http://schemas.openxmlformats.org/officeDocument/2006/relationships/hyperlink" Target="https://avan.market/?r=RADAR" TargetMode="External"/><Relationship Id="rId15" Type="http://schemas.openxmlformats.org/officeDocument/2006/relationships/hyperlink" Target="https://itrade.gg/?ref=RADAR" TargetMode="External"/><Relationship Id="rId14" Type="http://schemas.openxmlformats.org/officeDocument/2006/relationships/hyperlink" Target="https://itrade.gg/?ref=RADAR" TargetMode="External"/><Relationship Id="rId17" Type="http://schemas.openxmlformats.org/officeDocument/2006/relationships/hyperlink" Target="https://mannco.store/?ref=radar" TargetMode="External"/><Relationship Id="rId16" Type="http://schemas.openxmlformats.org/officeDocument/2006/relationships/hyperlink" Target="https://mannco.store/?ref=radar" TargetMode="External"/><Relationship Id="rId19" Type="http://schemas.openxmlformats.org/officeDocument/2006/relationships/hyperlink" Target="https://rustskins.com/r/radar" TargetMode="External"/><Relationship Id="rId18" Type="http://schemas.openxmlformats.org/officeDocument/2006/relationships/hyperlink" Target="https://rustskins.com/r/radar"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trade.tf/" TargetMode="External"/><Relationship Id="rId42" Type="http://schemas.openxmlformats.org/officeDocument/2006/relationships/hyperlink" Target="https://tf2trade.tf/" TargetMode="External"/><Relationship Id="rId41" Type="http://schemas.openxmlformats.org/officeDocument/2006/relationships/hyperlink" Target="https://sfuminator.tf/" TargetMode="External"/><Relationship Id="rId44" Type="http://schemas.openxmlformats.org/officeDocument/2006/relationships/hyperlink" Target="https://skinradar.gg/tf2-trading-sites" TargetMode="External"/><Relationship Id="rId43" Type="http://schemas.openxmlformats.org/officeDocument/2006/relationships/hyperlink" Target="https://spells.tf/" TargetMode="External"/><Relationship Id="rId46" Type="http://schemas.openxmlformats.org/officeDocument/2006/relationships/vmlDrawing" Target="../drawings/vmlDrawing3.vml"/><Relationship Id="rId45" Type="http://schemas.openxmlformats.org/officeDocument/2006/relationships/drawing" Target="../drawings/drawing3.xml"/><Relationship Id="rId1" Type="http://schemas.openxmlformats.org/officeDocument/2006/relationships/comments" Target="../comments3.xml"/><Relationship Id="rId2" Type="http://schemas.openxmlformats.org/officeDocument/2006/relationships/hyperlink" Target="https://mannco.store/?ref=radar" TargetMode="External"/><Relationship Id="rId3" Type="http://schemas.openxmlformats.org/officeDocument/2006/relationships/hyperlink" Target="https://mannco.store/?ref=radar" TargetMode="External"/><Relationship Id="rId4" Type="http://schemas.openxmlformats.org/officeDocument/2006/relationships/hyperlink" Target="https://skinport.com/r/radar" TargetMode="External"/><Relationship Id="rId9" Type="http://schemas.openxmlformats.org/officeDocument/2006/relationships/hyperlink" Target="https://tradeit.gg/?aff=RADAR" TargetMode="External"/><Relationship Id="rId5" Type="http://schemas.openxmlformats.org/officeDocument/2006/relationships/hyperlink" Target="https://skinport.com/r/radar" TargetMode="External"/><Relationship Id="rId6" Type="http://schemas.openxmlformats.org/officeDocument/2006/relationships/hyperlink" Target="https://dmarket.com/?ref=KMSMNF72t9" TargetMode="External"/><Relationship Id="rId7" Type="http://schemas.openxmlformats.org/officeDocument/2006/relationships/hyperlink" Target="https://dmarket.com?ref=KMSMNF72t9" TargetMode="External"/><Relationship Id="rId8" Type="http://schemas.openxmlformats.org/officeDocument/2006/relationships/hyperlink" Target="https://tradeit.gg/?aff=RADAR" TargetMode="External"/><Relationship Id="rId31" Type="http://schemas.openxmlformats.org/officeDocument/2006/relationships/hyperlink" Target="https://marketplace.tf/" TargetMode="External"/><Relationship Id="rId30" Type="http://schemas.openxmlformats.org/officeDocument/2006/relationships/hyperlink" Target="https://loot.farm/" TargetMode="External"/><Relationship Id="rId33" Type="http://schemas.openxmlformats.org/officeDocument/2006/relationships/hyperlink" Target="https://cs.trade/trade?ref=RADAR" TargetMode="External"/><Relationship Id="rId32" Type="http://schemas.openxmlformats.org/officeDocument/2006/relationships/hyperlink" Target="https://cs.trade/trade?ref=RADAR" TargetMode="External"/><Relationship Id="rId35" Type="http://schemas.openxmlformats.org/officeDocument/2006/relationships/hyperlink" Target="https://stntrading.eu/" TargetMode="External"/><Relationship Id="rId34" Type="http://schemas.openxmlformats.org/officeDocument/2006/relationships/hyperlink" Target="https://backpack.tf/" TargetMode="External"/><Relationship Id="rId37" Type="http://schemas.openxmlformats.org/officeDocument/2006/relationships/hyperlink" Target="https://mannco.trade/" TargetMode="External"/><Relationship Id="rId36" Type="http://schemas.openxmlformats.org/officeDocument/2006/relationships/hyperlink" Target="https://scrap.tf/" TargetMode="External"/><Relationship Id="rId39" Type="http://schemas.openxmlformats.org/officeDocument/2006/relationships/hyperlink" Target="https://tf2mart.net/" TargetMode="External"/><Relationship Id="rId38" Type="http://schemas.openxmlformats.org/officeDocument/2006/relationships/hyperlink" Target="https://quicksell.store/" TargetMode="External"/><Relationship Id="rId20" Type="http://schemas.openxmlformats.org/officeDocument/2006/relationships/hyperlink" Target="https://skincashier.com/r/RADAR" TargetMode="External"/><Relationship Id="rId22" Type="http://schemas.openxmlformats.org/officeDocument/2006/relationships/hyperlink" Target="https://rustskins.com/r/radar" TargetMode="External"/><Relationship Id="rId21" Type="http://schemas.openxmlformats.org/officeDocument/2006/relationships/hyperlink" Target="https://skincashier.com/r/RADAR" TargetMode="External"/><Relationship Id="rId24" Type="http://schemas.openxmlformats.org/officeDocument/2006/relationships/hyperlink" Target="https://merchant.tf/r/radar" TargetMode="External"/><Relationship Id="rId23" Type="http://schemas.openxmlformats.org/officeDocument/2006/relationships/hyperlink" Target="https://rustskins.com/r/radar" TargetMode="External"/><Relationship Id="rId26" Type="http://schemas.openxmlformats.org/officeDocument/2006/relationships/hyperlink" Target="https://ctrade.tf/?referred_by=MINDREFLEX" TargetMode="External"/><Relationship Id="rId25" Type="http://schemas.openxmlformats.org/officeDocument/2006/relationships/hyperlink" Target="https://merchant.tf/r/radar" TargetMode="External"/><Relationship Id="rId28" Type="http://schemas.openxmlformats.org/officeDocument/2006/relationships/hyperlink" Target="https://swap.gg/?r=PTSRMHOV" TargetMode="External"/><Relationship Id="rId27" Type="http://schemas.openxmlformats.org/officeDocument/2006/relationships/hyperlink" Target="https://ctrade.tf?referred_by=MINDREFLEX" TargetMode="External"/><Relationship Id="rId29" Type="http://schemas.openxmlformats.org/officeDocument/2006/relationships/hyperlink" Target="https://swap.gg/?r=PTSRMHOV" TargetMode="External"/><Relationship Id="rId11" Type="http://schemas.openxmlformats.org/officeDocument/2006/relationships/hyperlink" Target="https://avan.market/?r=RADAR" TargetMode="External"/><Relationship Id="rId10" Type="http://schemas.openxmlformats.org/officeDocument/2006/relationships/hyperlink" Target="https://avan.market/?r=RADAR" TargetMode="External"/><Relationship Id="rId13" Type="http://schemas.openxmlformats.org/officeDocument/2006/relationships/hyperlink" Target="https://csdeals.com/new/?ref=radar" TargetMode="External"/><Relationship Id="rId12" Type="http://schemas.openxmlformats.org/officeDocument/2006/relationships/hyperlink" Target="https://csdeals.com/new/?ref=radar" TargetMode="External"/><Relationship Id="rId15" Type="http://schemas.openxmlformats.org/officeDocument/2006/relationships/hyperlink" Target="https://sellyourskins.com/ref/RADAR" TargetMode="External"/><Relationship Id="rId14" Type="http://schemas.openxmlformats.org/officeDocument/2006/relationships/hyperlink" Target="https://sellyourskins.com/ref/RADAR" TargetMode="External"/><Relationship Id="rId17" Type="http://schemas.openxmlformats.org/officeDocument/2006/relationships/hyperlink" Target="http://waxpeer.com/r/RADAR" TargetMode="External"/><Relationship Id="rId16" Type="http://schemas.openxmlformats.org/officeDocument/2006/relationships/hyperlink" Target="http://waxpeer.com/r/RADAR" TargetMode="External"/><Relationship Id="rId19" Type="http://schemas.openxmlformats.org/officeDocument/2006/relationships/hyperlink" Target="https://skins.cash/user/ref/76561198051792928" TargetMode="External"/><Relationship Id="rId18" Type="http://schemas.openxmlformats.org/officeDocument/2006/relationships/hyperlink" Target="https://skins.cash/user/ref/76561198051792928"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skinport.com/r/radar" TargetMode="External"/><Relationship Id="rId3" Type="http://schemas.openxmlformats.org/officeDocument/2006/relationships/hyperlink" Target="https://skinport.com/r/radar" TargetMode="External"/><Relationship Id="rId4" Type="http://schemas.openxmlformats.org/officeDocument/2006/relationships/hyperlink" Target="https://lis-skins.com/?rf=2630004" TargetMode="External"/><Relationship Id="rId9" Type="http://schemas.openxmlformats.org/officeDocument/2006/relationships/hyperlink" Target="https://dmarket.com?ref=KMSMNF72t9" TargetMode="External"/><Relationship Id="rId5" Type="http://schemas.openxmlformats.org/officeDocument/2006/relationships/hyperlink" Target="https://lis-skins.com/?rf=2630004" TargetMode="External"/><Relationship Id="rId6" Type="http://schemas.openxmlformats.org/officeDocument/2006/relationships/hyperlink" Target="https://avan.market/?r=RADAR" TargetMode="External"/><Relationship Id="rId7" Type="http://schemas.openxmlformats.org/officeDocument/2006/relationships/hyperlink" Target="https://avan.market/?r=RADAR" TargetMode="External"/><Relationship Id="rId8" Type="http://schemas.openxmlformats.org/officeDocument/2006/relationships/hyperlink" Target="https://dmarket.com/?ref=KMSMNF72t9" TargetMode="External"/><Relationship Id="rId31" Type="http://schemas.openxmlformats.org/officeDocument/2006/relationships/hyperlink" Target="https://marketplace.tf/" TargetMode="External"/><Relationship Id="rId30" Type="http://schemas.openxmlformats.org/officeDocument/2006/relationships/hyperlink" Target="https://loot.farm/" TargetMode="External"/><Relationship Id="rId33" Type="http://schemas.openxmlformats.org/officeDocument/2006/relationships/hyperlink" Target="https://cs.trade/trade?ref=RADAR" TargetMode="External"/><Relationship Id="rId32" Type="http://schemas.openxmlformats.org/officeDocument/2006/relationships/hyperlink" Target="https://cs.trade/trade?ref=RADAR" TargetMode="External"/><Relationship Id="rId35" Type="http://schemas.openxmlformats.org/officeDocument/2006/relationships/drawing" Target="../drawings/drawing4.xml"/><Relationship Id="rId34" Type="http://schemas.openxmlformats.org/officeDocument/2006/relationships/hyperlink" Target="https://skinradar.gg/dota-2-trading-sites" TargetMode="External"/><Relationship Id="rId36" Type="http://schemas.openxmlformats.org/officeDocument/2006/relationships/vmlDrawing" Target="../drawings/vmlDrawing4.vml"/><Relationship Id="rId20" Type="http://schemas.openxmlformats.org/officeDocument/2006/relationships/hyperlink" Target="https://shadowpay.com/?utm_campaign=S7OLWDWMGwMfRvP" TargetMode="External"/><Relationship Id="rId22" Type="http://schemas.openxmlformats.org/officeDocument/2006/relationships/hyperlink" Target="https://csdeals.com/new/?ref=radar" TargetMode="External"/><Relationship Id="rId21" Type="http://schemas.openxmlformats.org/officeDocument/2006/relationships/hyperlink" Target="https://shadowpay.com?utm_campaign=S7OLWDWMGwMfRvP" TargetMode="External"/><Relationship Id="rId24" Type="http://schemas.openxmlformats.org/officeDocument/2006/relationships/hyperlink" Target="https://skins.cash/user/ref/76561198051792928" TargetMode="External"/><Relationship Id="rId23" Type="http://schemas.openxmlformats.org/officeDocument/2006/relationships/hyperlink" Target="https://csdeals.com/new/?ref=radar" TargetMode="External"/><Relationship Id="rId26" Type="http://schemas.openxmlformats.org/officeDocument/2006/relationships/hyperlink" Target="https://skincashier.com/r/RADAR" TargetMode="External"/><Relationship Id="rId25" Type="http://schemas.openxmlformats.org/officeDocument/2006/relationships/hyperlink" Target="https://skins.cash/user/ref/76561198051792928" TargetMode="External"/><Relationship Id="rId28" Type="http://schemas.openxmlformats.org/officeDocument/2006/relationships/hyperlink" Target="https://skin.land/" TargetMode="External"/><Relationship Id="rId27" Type="http://schemas.openxmlformats.org/officeDocument/2006/relationships/hyperlink" Target="https://skincashier.com/r/RADAR" TargetMode="External"/><Relationship Id="rId29" Type="http://schemas.openxmlformats.org/officeDocument/2006/relationships/hyperlink" Target="https://buff.163.com/" TargetMode="External"/><Relationship Id="rId11" Type="http://schemas.openxmlformats.org/officeDocument/2006/relationships/hyperlink" Target="https://mannco.store/?ref=radar" TargetMode="External"/><Relationship Id="rId10" Type="http://schemas.openxmlformats.org/officeDocument/2006/relationships/hyperlink" Target="https://mannco.store/?ref=radar" TargetMode="External"/><Relationship Id="rId13" Type="http://schemas.openxmlformats.org/officeDocument/2006/relationships/hyperlink" Target="https://aim.market/p/2295885f-cfbb-4b48-84ad-2b408a70a20c" TargetMode="External"/><Relationship Id="rId12" Type="http://schemas.openxmlformats.org/officeDocument/2006/relationships/hyperlink" Target="https://aim.market/p/2295885f-cfbb-4b48-84ad-2b408a70a20c" TargetMode="External"/><Relationship Id="rId15" Type="http://schemas.openxmlformats.org/officeDocument/2006/relationships/hyperlink" Target="https://skin.place?utm_campaign=vVP2fTghQ1PFWcl" TargetMode="External"/><Relationship Id="rId14" Type="http://schemas.openxmlformats.org/officeDocument/2006/relationships/hyperlink" Target="https://skin.place/?utm_campaign=vVP2fTghQ1PFWcl" TargetMode="External"/><Relationship Id="rId17" Type="http://schemas.openxmlformats.org/officeDocument/2006/relationships/hyperlink" Target="https://sellyourskins.com/ref/RADAR" TargetMode="External"/><Relationship Id="rId16" Type="http://schemas.openxmlformats.org/officeDocument/2006/relationships/hyperlink" Target="https://sellyourskins.com/ref/RADAR" TargetMode="External"/><Relationship Id="rId19" Type="http://schemas.openxmlformats.org/officeDocument/2006/relationships/hyperlink" Target="http://waxpeer.com/r/RADAR" TargetMode="External"/><Relationship Id="rId18" Type="http://schemas.openxmlformats.org/officeDocument/2006/relationships/hyperlink" Target="http://waxpeer.com/r/RADAR"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shadowpay.com/?utm_campaign=S7OLWDWMGwMfRvP" TargetMode="External"/><Relationship Id="rId190" Type="http://schemas.openxmlformats.org/officeDocument/2006/relationships/hyperlink" Target="https://mannco.store/?ref=radar" TargetMode="External"/><Relationship Id="rId42" Type="http://schemas.openxmlformats.org/officeDocument/2006/relationships/hyperlink" Target="https://csdeals.com/new/?ref=radar" TargetMode="External"/><Relationship Id="rId41" Type="http://schemas.openxmlformats.org/officeDocument/2006/relationships/hyperlink" Target="https://shadowpay.com?utm_campaign=S7OLWDWMGwMfRvP" TargetMode="External"/><Relationship Id="rId44" Type="http://schemas.openxmlformats.org/officeDocument/2006/relationships/hyperlink" Target="https://skins.cash/user/ref/76561198051792928" TargetMode="External"/><Relationship Id="rId194" Type="http://schemas.openxmlformats.org/officeDocument/2006/relationships/hyperlink" Target="http://waxpeer.com/r/RADAR" TargetMode="External"/><Relationship Id="rId43" Type="http://schemas.openxmlformats.org/officeDocument/2006/relationships/hyperlink" Target="https://csdeals.com/new/?ref=radar" TargetMode="External"/><Relationship Id="rId193" Type="http://schemas.openxmlformats.org/officeDocument/2006/relationships/hyperlink" Target="https://sellyourskins.com/ref/RADAR" TargetMode="External"/><Relationship Id="rId46" Type="http://schemas.openxmlformats.org/officeDocument/2006/relationships/hyperlink" Target="https://skinomat.com/r/RADAR" TargetMode="External"/><Relationship Id="rId192" Type="http://schemas.openxmlformats.org/officeDocument/2006/relationships/hyperlink" Target="https://skin.place/?utm_campaign=vVP2fTghQ1PFWcl" TargetMode="External"/><Relationship Id="rId45" Type="http://schemas.openxmlformats.org/officeDocument/2006/relationships/hyperlink" Target="https://skins.cash/user/ref/76561198051792928" TargetMode="External"/><Relationship Id="rId191" Type="http://schemas.openxmlformats.org/officeDocument/2006/relationships/hyperlink" Target="https://aim.market/p/2295885f-cfbb-4b48-84ad-2b408a70a20c" TargetMode="External"/><Relationship Id="rId48" Type="http://schemas.openxmlformats.org/officeDocument/2006/relationships/hyperlink" Target="https://aim.market/p/2295885f-cfbb-4b48-84ad-2b408a70a20c" TargetMode="External"/><Relationship Id="rId187" Type="http://schemas.openxmlformats.org/officeDocument/2006/relationships/hyperlink" Target="https://lis-skins.com/?rf=2630004" TargetMode="External"/><Relationship Id="rId47" Type="http://schemas.openxmlformats.org/officeDocument/2006/relationships/hyperlink" Target="https://skinomat.com/r/RADAR" TargetMode="External"/><Relationship Id="rId186" Type="http://schemas.openxmlformats.org/officeDocument/2006/relationships/hyperlink" Target="https://skinport.com/r/radar" TargetMode="External"/><Relationship Id="rId185" Type="http://schemas.openxmlformats.org/officeDocument/2006/relationships/hyperlink" Target="https://spells.tf/" TargetMode="External"/><Relationship Id="rId49" Type="http://schemas.openxmlformats.org/officeDocument/2006/relationships/hyperlink" Target="https://aim.market/p/2295885f-cfbb-4b48-84ad-2b408a70a20c" TargetMode="External"/><Relationship Id="rId184" Type="http://schemas.openxmlformats.org/officeDocument/2006/relationships/hyperlink" Target="https://tf2trade.tf/" TargetMode="External"/><Relationship Id="rId189" Type="http://schemas.openxmlformats.org/officeDocument/2006/relationships/hyperlink" Target="https://dmarket.com/?ref=KMSMNF72t9" TargetMode="External"/><Relationship Id="rId188" Type="http://schemas.openxmlformats.org/officeDocument/2006/relationships/hyperlink" Target="https://avan.market/?r=RADAR" TargetMode="External"/><Relationship Id="rId31" Type="http://schemas.openxmlformats.org/officeDocument/2006/relationships/hyperlink" Target="https://rapidskins.com/a/RADAR" TargetMode="External"/><Relationship Id="rId30" Type="http://schemas.openxmlformats.org/officeDocument/2006/relationships/hyperlink" Target="https://rapidskins.com/a/RADAR" TargetMode="External"/><Relationship Id="rId33" Type="http://schemas.openxmlformats.org/officeDocument/2006/relationships/hyperlink" Target="https://itrade.gg/?ref=RADAR" TargetMode="External"/><Relationship Id="rId183" Type="http://schemas.openxmlformats.org/officeDocument/2006/relationships/hyperlink" Target="https://sfuminator.tf/" TargetMode="External"/><Relationship Id="rId32" Type="http://schemas.openxmlformats.org/officeDocument/2006/relationships/hyperlink" Target="https://itrade.gg/?ref=RADAR" TargetMode="External"/><Relationship Id="rId182" Type="http://schemas.openxmlformats.org/officeDocument/2006/relationships/hyperlink" Target="https://www.trade.tf/" TargetMode="External"/><Relationship Id="rId35" Type="http://schemas.openxmlformats.org/officeDocument/2006/relationships/hyperlink" Target="https://mannco.store/?ref=radar" TargetMode="External"/><Relationship Id="rId181" Type="http://schemas.openxmlformats.org/officeDocument/2006/relationships/hyperlink" Target="https://tf2mart.net/" TargetMode="External"/><Relationship Id="rId34" Type="http://schemas.openxmlformats.org/officeDocument/2006/relationships/hyperlink" Target="https://mannco.store/?ref=radar" TargetMode="External"/><Relationship Id="rId180" Type="http://schemas.openxmlformats.org/officeDocument/2006/relationships/hyperlink" Target="https://quicksell.store/" TargetMode="External"/><Relationship Id="rId37" Type="http://schemas.openxmlformats.org/officeDocument/2006/relationships/hyperlink" Target="http://waxpeer.com/r/RADAR" TargetMode="External"/><Relationship Id="rId176" Type="http://schemas.openxmlformats.org/officeDocument/2006/relationships/hyperlink" Target="https://backpack.tf/" TargetMode="External"/><Relationship Id="rId36" Type="http://schemas.openxmlformats.org/officeDocument/2006/relationships/hyperlink" Target="http://waxpeer.com/r/RADAR" TargetMode="External"/><Relationship Id="rId175" Type="http://schemas.openxmlformats.org/officeDocument/2006/relationships/hyperlink" Target="https://cs.trade/" TargetMode="External"/><Relationship Id="rId39" Type="http://schemas.openxmlformats.org/officeDocument/2006/relationships/hyperlink" Target="https://bitskins.com/?ref_alias=RADAR" TargetMode="External"/><Relationship Id="rId174" Type="http://schemas.openxmlformats.org/officeDocument/2006/relationships/hyperlink" Target="https://marketplace.tf/" TargetMode="External"/><Relationship Id="rId38" Type="http://schemas.openxmlformats.org/officeDocument/2006/relationships/hyperlink" Target="https://bitskins.com/?ref_alias=RADAR" TargetMode="External"/><Relationship Id="rId173" Type="http://schemas.openxmlformats.org/officeDocument/2006/relationships/hyperlink" Target="https://loot.farm/" TargetMode="External"/><Relationship Id="rId179" Type="http://schemas.openxmlformats.org/officeDocument/2006/relationships/hyperlink" Target="https://mannco.trade/" TargetMode="External"/><Relationship Id="rId178" Type="http://schemas.openxmlformats.org/officeDocument/2006/relationships/hyperlink" Target="https://scrap.tf/" TargetMode="External"/><Relationship Id="rId177" Type="http://schemas.openxmlformats.org/officeDocument/2006/relationships/hyperlink" Target="https://stntrading.eu/" TargetMode="External"/><Relationship Id="rId20" Type="http://schemas.openxmlformats.org/officeDocument/2006/relationships/hyperlink" Target="https://skincashier.com/r/RADAR" TargetMode="External"/><Relationship Id="rId22" Type="http://schemas.openxmlformats.org/officeDocument/2006/relationships/hyperlink" Target="https://sellyourskins.com/ref/RADAR" TargetMode="External"/><Relationship Id="rId21" Type="http://schemas.openxmlformats.org/officeDocument/2006/relationships/hyperlink" Target="https://skincashier.com/r/RADAR" TargetMode="External"/><Relationship Id="rId24" Type="http://schemas.openxmlformats.org/officeDocument/2006/relationships/hyperlink" Target="https://gamerpay.gg/partner/b10e1676f0" TargetMode="External"/><Relationship Id="rId23" Type="http://schemas.openxmlformats.org/officeDocument/2006/relationships/hyperlink" Target="https://sellyourskins.com/ref/RADAR" TargetMode="External"/><Relationship Id="rId26" Type="http://schemas.openxmlformats.org/officeDocument/2006/relationships/hyperlink" Target="https://swap.gg/?r=s9mDjgNr5z" TargetMode="External"/><Relationship Id="rId25" Type="http://schemas.openxmlformats.org/officeDocument/2006/relationships/hyperlink" Target="https://gamerpay.gg/partner/b10e1676f0" TargetMode="External"/><Relationship Id="rId28" Type="http://schemas.openxmlformats.org/officeDocument/2006/relationships/hyperlink" Target="https://skinswap.com/r/radar" TargetMode="External"/><Relationship Id="rId27" Type="http://schemas.openxmlformats.org/officeDocument/2006/relationships/hyperlink" Target="https://swap.gg/?r=s9mDjgNr5z" TargetMode="External"/><Relationship Id="rId29" Type="http://schemas.openxmlformats.org/officeDocument/2006/relationships/hyperlink" Target="https://skinswap.com/r/radar" TargetMode="External"/><Relationship Id="rId11" Type="http://schemas.openxmlformats.org/officeDocument/2006/relationships/hyperlink" Target="https://lis-skins.com/?rf=2630004" TargetMode="External"/><Relationship Id="rId10" Type="http://schemas.openxmlformats.org/officeDocument/2006/relationships/hyperlink" Target="https://lis-skins.com/?rf=2630004" TargetMode="External"/><Relationship Id="rId13" Type="http://schemas.openxmlformats.org/officeDocument/2006/relationships/hyperlink" Target="https://avan.market/?r=RADAR" TargetMode="External"/><Relationship Id="rId12" Type="http://schemas.openxmlformats.org/officeDocument/2006/relationships/hyperlink" Target="https://avan.market/?r=RADAR" TargetMode="External"/><Relationship Id="rId15" Type="http://schemas.openxmlformats.org/officeDocument/2006/relationships/hyperlink" Target="https://skinflow.gg/?referral=RADAR" TargetMode="External"/><Relationship Id="rId198" Type="http://schemas.openxmlformats.org/officeDocument/2006/relationships/hyperlink" Target="https://skincashier.com/r/RADAR" TargetMode="External"/><Relationship Id="rId14" Type="http://schemas.openxmlformats.org/officeDocument/2006/relationships/hyperlink" Target="https://skinflow.gg/?referral=RADAR" TargetMode="External"/><Relationship Id="rId197" Type="http://schemas.openxmlformats.org/officeDocument/2006/relationships/hyperlink" Target="https://skins.cash/user/ref/76561198051792928" TargetMode="External"/><Relationship Id="rId17" Type="http://schemas.openxmlformats.org/officeDocument/2006/relationships/hyperlink" Target="https://skin.place?utm_campaign=vVP2fTghQ1PFWcl" TargetMode="External"/><Relationship Id="rId196" Type="http://schemas.openxmlformats.org/officeDocument/2006/relationships/hyperlink" Target="https://csdeals.com/new/?ref=radar" TargetMode="External"/><Relationship Id="rId16" Type="http://schemas.openxmlformats.org/officeDocument/2006/relationships/hyperlink" Target="https://skin.place/?utm_campaign=vVP2fTghQ1PFWcl" TargetMode="External"/><Relationship Id="rId195" Type="http://schemas.openxmlformats.org/officeDocument/2006/relationships/hyperlink" Target="https://shadowpay.com/?utm_campaign=S7OLWDWMGwMfRvP" TargetMode="External"/><Relationship Id="rId19" Type="http://schemas.openxmlformats.org/officeDocument/2006/relationships/hyperlink" Target="https://white.market/invite/9ce6858d5ef8bb9c" TargetMode="External"/><Relationship Id="rId18" Type="http://schemas.openxmlformats.org/officeDocument/2006/relationships/hyperlink" Target="https://white.market/invite/9ce6858d5ef8bb9c" TargetMode="External"/><Relationship Id="rId199" Type="http://schemas.openxmlformats.org/officeDocument/2006/relationships/hyperlink" Target="https://skin.land/" TargetMode="External"/><Relationship Id="rId84" Type="http://schemas.openxmlformats.org/officeDocument/2006/relationships/hyperlink" Target="https://tradeit.gg/?aff=RADAR" TargetMode="External"/><Relationship Id="rId83" Type="http://schemas.openxmlformats.org/officeDocument/2006/relationships/hyperlink" Target="https://gamerpay.gg/partner/b10e1676f0" TargetMode="External"/><Relationship Id="rId86" Type="http://schemas.openxmlformats.org/officeDocument/2006/relationships/hyperlink" Target="https://skinvault.gg/?aff=RADAR" TargetMode="External"/><Relationship Id="rId85" Type="http://schemas.openxmlformats.org/officeDocument/2006/relationships/hyperlink" Target="https://skinflow.gg/?referral=RADAR" TargetMode="External"/><Relationship Id="rId88" Type="http://schemas.openxmlformats.org/officeDocument/2006/relationships/hyperlink" Target="https://csfloat.com/ref/RADAR" TargetMode="External"/><Relationship Id="rId150" Type="http://schemas.openxmlformats.org/officeDocument/2006/relationships/hyperlink" Target="https://shadowpay.com/?utm_campaign=S7OLWDWMGwMfRvP" TargetMode="External"/><Relationship Id="rId87" Type="http://schemas.openxmlformats.org/officeDocument/2006/relationships/hyperlink" Target="https://skinport.com/r/radar" TargetMode="External"/><Relationship Id="rId89" Type="http://schemas.openxmlformats.org/officeDocument/2006/relationships/hyperlink" Target="https://dmarket.com/?ref=KMSMNF72t9" TargetMode="External"/><Relationship Id="rId80" Type="http://schemas.openxmlformats.org/officeDocument/2006/relationships/hyperlink" Target="https://sih.app/" TargetMode="External"/><Relationship Id="rId82" Type="http://schemas.openxmlformats.org/officeDocument/2006/relationships/hyperlink" Target="https://gamerpay.gg/partner/b10e1676f0" TargetMode="External"/><Relationship Id="rId81" Type="http://schemas.openxmlformats.org/officeDocument/2006/relationships/hyperlink" Target="https://snipeskins.com/" TargetMode="External"/><Relationship Id="rId1" Type="http://schemas.openxmlformats.org/officeDocument/2006/relationships/comments" Target="../comments5.xml"/><Relationship Id="rId2" Type="http://schemas.openxmlformats.org/officeDocument/2006/relationships/hyperlink" Target="https://tradeit.gg/?aff=RADAR" TargetMode="External"/><Relationship Id="rId3" Type="http://schemas.openxmlformats.org/officeDocument/2006/relationships/hyperlink" Target="https://tradeit.gg/?aff=RADAR" TargetMode="External"/><Relationship Id="rId149" Type="http://schemas.openxmlformats.org/officeDocument/2006/relationships/hyperlink" Target="http://waxpeer.com/r/RADAR" TargetMode="External"/><Relationship Id="rId4" Type="http://schemas.openxmlformats.org/officeDocument/2006/relationships/hyperlink" Target="https://dmarket.com/?ref=KMSMNF72t9" TargetMode="External"/><Relationship Id="rId148" Type="http://schemas.openxmlformats.org/officeDocument/2006/relationships/hyperlink" Target="https://rapidskins.com/a/RADAR" TargetMode="External"/><Relationship Id="rId9" Type="http://schemas.openxmlformats.org/officeDocument/2006/relationships/hyperlink" Target="https://skinport.com/r/radar" TargetMode="External"/><Relationship Id="rId143" Type="http://schemas.openxmlformats.org/officeDocument/2006/relationships/hyperlink" Target="https://rustskins.com/r/radar" TargetMode="External"/><Relationship Id="rId142" Type="http://schemas.openxmlformats.org/officeDocument/2006/relationships/hyperlink" Target="https://mannco.store/?ref=radar" TargetMode="External"/><Relationship Id="rId141" Type="http://schemas.openxmlformats.org/officeDocument/2006/relationships/hyperlink" Target="https://itrade.gg/?ref=RADAR" TargetMode="External"/><Relationship Id="rId140" Type="http://schemas.openxmlformats.org/officeDocument/2006/relationships/hyperlink" Target="https://avan.market/?r=RADAR" TargetMode="External"/><Relationship Id="rId5" Type="http://schemas.openxmlformats.org/officeDocument/2006/relationships/hyperlink" Target="https://dmarket.com?ref=KMSMNF72t9" TargetMode="External"/><Relationship Id="rId147" Type="http://schemas.openxmlformats.org/officeDocument/2006/relationships/hyperlink" Target="https://skincashier.com/r/RADAR" TargetMode="External"/><Relationship Id="rId6" Type="http://schemas.openxmlformats.org/officeDocument/2006/relationships/hyperlink" Target="https://skinvault.gg/?aff=RADAR" TargetMode="External"/><Relationship Id="rId146" Type="http://schemas.openxmlformats.org/officeDocument/2006/relationships/hyperlink" Target="https://sellyourskins.com/ref/RADAR" TargetMode="External"/><Relationship Id="rId7" Type="http://schemas.openxmlformats.org/officeDocument/2006/relationships/hyperlink" Target="https://skinvault.gg/?aff=RADAR" TargetMode="External"/><Relationship Id="rId145" Type="http://schemas.openxmlformats.org/officeDocument/2006/relationships/hyperlink" Target="https://skin.place/?utm_campaign=vVP2fTghQ1PFWcl" TargetMode="External"/><Relationship Id="rId8" Type="http://schemas.openxmlformats.org/officeDocument/2006/relationships/hyperlink" Target="https://skinport.com/r/radar" TargetMode="External"/><Relationship Id="rId144" Type="http://schemas.openxmlformats.org/officeDocument/2006/relationships/hyperlink" Target="https://aim.market/p/2295885f-cfbb-4b48-84ad-2b408a70a20c" TargetMode="External"/><Relationship Id="rId73" Type="http://schemas.openxmlformats.org/officeDocument/2006/relationships/hyperlink" Target="https://skincantor.com/?code=RADAR" TargetMode="External"/><Relationship Id="rId72" Type="http://schemas.openxmlformats.org/officeDocument/2006/relationships/hyperlink" Target="https://skincantor.com/" TargetMode="External"/><Relationship Id="rId75" Type="http://schemas.openxmlformats.org/officeDocument/2006/relationships/hyperlink" Target="https://bitskins.com/?ref_alias=RADAR" TargetMode="External"/><Relationship Id="rId74" Type="http://schemas.openxmlformats.org/officeDocument/2006/relationships/hyperlink" Target="https://skinradar.gg/" TargetMode="External"/><Relationship Id="rId77" Type="http://schemas.openxmlformats.org/officeDocument/2006/relationships/hyperlink" Target="https://www.rustytrade.com/" TargetMode="External"/><Relationship Id="rId76" Type="http://schemas.openxmlformats.org/officeDocument/2006/relationships/hyperlink" Target="https://bitskins.com/?ref_alias=RADAR" TargetMode="External"/><Relationship Id="rId79" Type="http://schemas.openxmlformats.org/officeDocument/2006/relationships/hyperlink" Target="http://exeedme.com/?promoCode=RADAR" TargetMode="External"/><Relationship Id="rId78" Type="http://schemas.openxmlformats.org/officeDocument/2006/relationships/hyperlink" Target="http://exeedme.com/?promoCode=RADAR" TargetMode="External"/><Relationship Id="rId71" Type="http://schemas.openxmlformats.org/officeDocument/2006/relationships/hyperlink" Target="https://swapx.gg/" TargetMode="External"/><Relationship Id="rId70" Type="http://schemas.openxmlformats.org/officeDocument/2006/relationships/hyperlink" Target="https://skinout.gg/en" TargetMode="External"/><Relationship Id="rId139" Type="http://schemas.openxmlformats.org/officeDocument/2006/relationships/hyperlink" Target="https://lis-skins.com/?rf=2630004" TargetMode="External"/><Relationship Id="rId138" Type="http://schemas.openxmlformats.org/officeDocument/2006/relationships/hyperlink" Target="https://skinport.com/r/radar" TargetMode="External"/><Relationship Id="rId137" Type="http://schemas.openxmlformats.org/officeDocument/2006/relationships/hyperlink" Target="https://tradeit.gg/?aff=RADAR" TargetMode="External"/><Relationship Id="rId132" Type="http://schemas.openxmlformats.org/officeDocument/2006/relationships/hyperlink" Target="https://bitskins.com/?ref_alias=RADAR" TargetMode="External"/><Relationship Id="rId131" Type="http://schemas.openxmlformats.org/officeDocument/2006/relationships/hyperlink" Target="https://csboard.com/r/skinradar" TargetMode="External"/><Relationship Id="rId130" Type="http://schemas.openxmlformats.org/officeDocument/2006/relationships/hyperlink" Target="https://balticskins.com/r/RADAR" TargetMode="External"/><Relationship Id="rId136" Type="http://schemas.openxmlformats.org/officeDocument/2006/relationships/hyperlink" Target="https://dmarket.com/?ref=KMSMNF72t9" TargetMode="External"/><Relationship Id="rId135" Type="http://schemas.openxmlformats.org/officeDocument/2006/relationships/hyperlink" Target="https://skinswap.com/r/radar" TargetMode="External"/><Relationship Id="rId134" Type="http://schemas.openxmlformats.org/officeDocument/2006/relationships/hyperlink" Target="https://skinbid.com/" TargetMode="External"/><Relationship Id="rId133" Type="http://schemas.openxmlformats.org/officeDocument/2006/relationships/hyperlink" Target="https://gamerpay.gg/partner/b10e1676f0" TargetMode="External"/><Relationship Id="rId62" Type="http://schemas.openxmlformats.org/officeDocument/2006/relationships/hyperlink" Target="https://skinbaron.de/en" TargetMode="External"/><Relationship Id="rId61" Type="http://schemas.openxmlformats.org/officeDocument/2006/relationships/hyperlink" Target="https://market.csgo.com/" TargetMode="External"/><Relationship Id="rId64" Type="http://schemas.openxmlformats.org/officeDocument/2006/relationships/hyperlink" Target="https://skin.land/" TargetMode="External"/><Relationship Id="rId63" Type="http://schemas.openxmlformats.org/officeDocument/2006/relationships/hyperlink" Target="https://skinbid.com/" TargetMode="External"/><Relationship Id="rId66" Type="http://schemas.openxmlformats.org/officeDocument/2006/relationships/hyperlink" Target="https://cs.trade/" TargetMode="External"/><Relationship Id="rId172" Type="http://schemas.openxmlformats.org/officeDocument/2006/relationships/hyperlink" Target="https://swap.gg/?r=s9mDjgNr5z" TargetMode="External"/><Relationship Id="rId65" Type="http://schemas.openxmlformats.org/officeDocument/2006/relationships/hyperlink" Target="https://buff.163.com/" TargetMode="External"/><Relationship Id="rId171" Type="http://schemas.openxmlformats.org/officeDocument/2006/relationships/hyperlink" Target="https://ctrade.tf/?referred_by=MINDREFLEX" TargetMode="External"/><Relationship Id="rId68" Type="http://schemas.openxmlformats.org/officeDocument/2006/relationships/hyperlink" Target="https://pirateswap.com/" TargetMode="External"/><Relationship Id="rId170" Type="http://schemas.openxmlformats.org/officeDocument/2006/relationships/hyperlink" Target="https://merchant.tf/r/radar" TargetMode="External"/><Relationship Id="rId67" Type="http://schemas.openxmlformats.org/officeDocument/2006/relationships/hyperlink" Target="https://loot.farm/" TargetMode="External"/><Relationship Id="rId60" Type="http://schemas.openxmlformats.org/officeDocument/2006/relationships/hyperlink" Target="https://skinsmonkey.com/" TargetMode="External"/><Relationship Id="rId165" Type="http://schemas.openxmlformats.org/officeDocument/2006/relationships/hyperlink" Target="https://sellyourskins.com/ref/RADAR" TargetMode="External"/><Relationship Id="rId69" Type="http://schemas.openxmlformats.org/officeDocument/2006/relationships/hyperlink" Target="https://www.haloskins.com/" TargetMode="External"/><Relationship Id="rId164" Type="http://schemas.openxmlformats.org/officeDocument/2006/relationships/hyperlink" Target="https://csdeals.com/new/?ref=radar" TargetMode="External"/><Relationship Id="rId163" Type="http://schemas.openxmlformats.org/officeDocument/2006/relationships/hyperlink" Target="https://avan.market/?r=RADAR" TargetMode="External"/><Relationship Id="rId162" Type="http://schemas.openxmlformats.org/officeDocument/2006/relationships/hyperlink" Target="https://tradeit.gg/?aff=RADAR" TargetMode="External"/><Relationship Id="rId169" Type="http://schemas.openxmlformats.org/officeDocument/2006/relationships/hyperlink" Target="https://rustskins.com/r/radar" TargetMode="External"/><Relationship Id="rId168" Type="http://schemas.openxmlformats.org/officeDocument/2006/relationships/hyperlink" Target="https://skincashier.com/r/RADAR" TargetMode="External"/><Relationship Id="rId167" Type="http://schemas.openxmlformats.org/officeDocument/2006/relationships/hyperlink" Target="https://skins.cash/user/ref/76561198051792928" TargetMode="External"/><Relationship Id="rId166" Type="http://schemas.openxmlformats.org/officeDocument/2006/relationships/hyperlink" Target="http://waxpeer.com/r/RADAR" TargetMode="External"/><Relationship Id="rId51" Type="http://schemas.openxmlformats.org/officeDocument/2006/relationships/hyperlink" Target="http://exeedme.com/?promoCode=RADAR" TargetMode="External"/><Relationship Id="rId50" Type="http://schemas.openxmlformats.org/officeDocument/2006/relationships/hyperlink" Target="http://exeedme.com/?promoCode=RADAR" TargetMode="External"/><Relationship Id="rId53" Type="http://schemas.openxmlformats.org/officeDocument/2006/relationships/hyperlink" Target="https://csgopaka.com/ref/radar" TargetMode="External"/><Relationship Id="rId52" Type="http://schemas.openxmlformats.org/officeDocument/2006/relationships/hyperlink" Target="https://csgopaka.com/ref/radar" TargetMode="External"/><Relationship Id="rId55" Type="http://schemas.openxmlformats.org/officeDocument/2006/relationships/hyperlink" Target="https://skinthunder.com/?ref=UAZEUEDK" TargetMode="External"/><Relationship Id="rId161" Type="http://schemas.openxmlformats.org/officeDocument/2006/relationships/hyperlink" Target="https://dmarket.com/?ref=KMSMNF72t9" TargetMode="External"/><Relationship Id="rId54" Type="http://schemas.openxmlformats.org/officeDocument/2006/relationships/hyperlink" Target="https://sellpixels.gg/" TargetMode="External"/><Relationship Id="rId160" Type="http://schemas.openxmlformats.org/officeDocument/2006/relationships/hyperlink" Target="https://skinport.com/r/radar" TargetMode="External"/><Relationship Id="rId57" Type="http://schemas.openxmlformats.org/officeDocument/2006/relationships/hyperlink" Target="https://csfloat.com/" TargetMode="External"/><Relationship Id="rId56" Type="http://schemas.openxmlformats.org/officeDocument/2006/relationships/hyperlink" Target="https://skinthunder.com/?ref=UAZEUEDK" TargetMode="External"/><Relationship Id="rId159" Type="http://schemas.openxmlformats.org/officeDocument/2006/relationships/hyperlink" Target="https://mannco.store/?ref=radar" TargetMode="External"/><Relationship Id="rId59" Type="http://schemas.openxmlformats.org/officeDocument/2006/relationships/hyperlink" Target="https://cs.money/" TargetMode="External"/><Relationship Id="rId154" Type="http://schemas.openxmlformats.org/officeDocument/2006/relationships/hyperlink" Target="https://loot.farm/" TargetMode="External"/><Relationship Id="rId58" Type="http://schemas.openxmlformats.org/officeDocument/2006/relationships/hyperlink" Target="https://buff.market/" TargetMode="External"/><Relationship Id="rId153" Type="http://schemas.openxmlformats.org/officeDocument/2006/relationships/hyperlink" Target="https://skin.land/" TargetMode="External"/><Relationship Id="rId152" Type="http://schemas.openxmlformats.org/officeDocument/2006/relationships/hyperlink" Target="https://skins.cash/user/ref/76561198051792928" TargetMode="External"/><Relationship Id="rId151" Type="http://schemas.openxmlformats.org/officeDocument/2006/relationships/hyperlink" Target="https://csdeals.com/new/?ref=radar" TargetMode="External"/><Relationship Id="rId158" Type="http://schemas.openxmlformats.org/officeDocument/2006/relationships/hyperlink" Target="https://snipeskins.com/" TargetMode="External"/><Relationship Id="rId157" Type="http://schemas.openxmlformats.org/officeDocument/2006/relationships/hyperlink" Target="https://cashed.gg/" TargetMode="External"/><Relationship Id="rId156" Type="http://schemas.openxmlformats.org/officeDocument/2006/relationships/hyperlink" Target="https://cs.trade/" TargetMode="External"/><Relationship Id="rId155" Type="http://schemas.openxmlformats.org/officeDocument/2006/relationships/hyperlink" Target="https://swap.gg/?r=s9mDjgNr5z" TargetMode="External"/><Relationship Id="rId107" Type="http://schemas.openxmlformats.org/officeDocument/2006/relationships/hyperlink" Target="https://rapidskins.com/a/RADAR" TargetMode="External"/><Relationship Id="rId106" Type="http://schemas.openxmlformats.org/officeDocument/2006/relationships/hyperlink" Target="https://shadowpay.com/?utm_campaign=S7OLWDWMGwMfRvP" TargetMode="External"/><Relationship Id="rId105" Type="http://schemas.openxmlformats.org/officeDocument/2006/relationships/hyperlink" Target="https://white.market/invite/9ce6858d5ef8bb9c" TargetMode="External"/><Relationship Id="rId104" Type="http://schemas.openxmlformats.org/officeDocument/2006/relationships/hyperlink" Target="https://cs.trade/" TargetMode="External"/><Relationship Id="rId109" Type="http://schemas.openxmlformats.org/officeDocument/2006/relationships/hyperlink" Target="https://skinomat.com/r/RADAR" TargetMode="External"/><Relationship Id="rId108" Type="http://schemas.openxmlformats.org/officeDocument/2006/relationships/hyperlink" Target="https://swap.gg/?r=s9mDjgNr5z" TargetMode="External"/><Relationship Id="rId103" Type="http://schemas.openxmlformats.org/officeDocument/2006/relationships/hyperlink" Target="https://buff.market/" TargetMode="External"/><Relationship Id="rId102" Type="http://schemas.openxmlformats.org/officeDocument/2006/relationships/hyperlink" Target="https://skincashier.com/r/RADAR" TargetMode="External"/><Relationship Id="rId101" Type="http://schemas.openxmlformats.org/officeDocument/2006/relationships/hyperlink" Target="https://cs.money/" TargetMode="External"/><Relationship Id="rId100" Type="http://schemas.openxmlformats.org/officeDocument/2006/relationships/hyperlink" Target="https://rustskins.com/r/radar" TargetMode="External"/><Relationship Id="rId129" Type="http://schemas.openxmlformats.org/officeDocument/2006/relationships/hyperlink" Target="https://cashed.gg/" TargetMode="External"/><Relationship Id="rId128" Type="http://schemas.openxmlformats.org/officeDocument/2006/relationships/hyperlink" Target="https://ntskins.com/" TargetMode="External"/><Relationship Id="rId127" Type="http://schemas.openxmlformats.org/officeDocument/2006/relationships/hyperlink" Target="https://www.uuskins.com/" TargetMode="External"/><Relationship Id="rId126" Type="http://schemas.openxmlformats.org/officeDocument/2006/relationships/hyperlink" Target="https://skins.com/" TargetMode="External"/><Relationship Id="rId121" Type="http://schemas.openxmlformats.org/officeDocument/2006/relationships/hyperlink" Target="https://skin.land/" TargetMode="External"/><Relationship Id="rId120" Type="http://schemas.openxmlformats.org/officeDocument/2006/relationships/hyperlink" Target="https://market.csgo.com/" TargetMode="External"/><Relationship Id="rId125" Type="http://schemas.openxmlformats.org/officeDocument/2006/relationships/hyperlink" Target="https://skincantor.com/?code=RADAR" TargetMode="External"/><Relationship Id="rId124" Type="http://schemas.openxmlformats.org/officeDocument/2006/relationships/hyperlink" Target="https://skinout.gg/en" TargetMode="External"/><Relationship Id="rId123" Type="http://schemas.openxmlformats.org/officeDocument/2006/relationships/hyperlink" Target="https://loot.farm/" TargetMode="External"/><Relationship Id="rId122" Type="http://schemas.openxmlformats.org/officeDocument/2006/relationships/hyperlink" Target="https://buff.163.com/" TargetMode="External"/><Relationship Id="rId95" Type="http://schemas.openxmlformats.org/officeDocument/2006/relationships/hyperlink" Target="https://itrade.gg/?ref=RADAR" TargetMode="External"/><Relationship Id="rId94" Type="http://schemas.openxmlformats.org/officeDocument/2006/relationships/hyperlink" Target="https://mannco.store/?ref=radar" TargetMode="External"/><Relationship Id="rId97" Type="http://schemas.openxmlformats.org/officeDocument/2006/relationships/hyperlink" Target="https://aim.market/p/2295885f-cfbb-4b48-84ad-2b408a70a20c" TargetMode="External"/><Relationship Id="rId96" Type="http://schemas.openxmlformats.org/officeDocument/2006/relationships/hyperlink" Target="https://skinbaron.de/affiliate/861.html" TargetMode="External"/><Relationship Id="rId99" Type="http://schemas.openxmlformats.org/officeDocument/2006/relationships/hyperlink" Target="https://sellyourskins.com/ref/RADAR" TargetMode="External"/><Relationship Id="rId98" Type="http://schemas.openxmlformats.org/officeDocument/2006/relationships/hyperlink" Target="https://skin.place/?utm_campaign=vVP2fTghQ1PFWcl" TargetMode="External"/><Relationship Id="rId91" Type="http://schemas.openxmlformats.org/officeDocument/2006/relationships/hyperlink" Target="https://pirateswap.com/?ref=radar" TargetMode="External"/><Relationship Id="rId90" Type="http://schemas.openxmlformats.org/officeDocument/2006/relationships/hyperlink" Target="https://lis-skins.com/?rf=2630004" TargetMode="External"/><Relationship Id="rId93" Type="http://schemas.openxmlformats.org/officeDocument/2006/relationships/hyperlink" Target="https://avan.market/?r=RADAR" TargetMode="External"/><Relationship Id="rId92" Type="http://schemas.openxmlformats.org/officeDocument/2006/relationships/hyperlink" Target="https://skinswap.com/r/radar" TargetMode="External"/><Relationship Id="rId118" Type="http://schemas.openxmlformats.org/officeDocument/2006/relationships/hyperlink" Target="https://www.haloskins.com/?channelCode=Skinradar" TargetMode="External"/><Relationship Id="rId117" Type="http://schemas.openxmlformats.org/officeDocument/2006/relationships/hyperlink" Target="https://skinthunder.com/?ref=UAZEUEDK" TargetMode="External"/><Relationship Id="rId116" Type="http://schemas.openxmlformats.org/officeDocument/2006/relationships/hyperlink" Target="https://dupe.fi/" TargetMode="External"/><Relationship Id="rId115" Type="http://schemas.openxmlformats.org/officeDocument/2006/relationships/hyperlink" Target="https://skinsprotocol.com/" TargetMode="External"/><Relationship Id="rId119" Type="http://schemas.openxmlformats.org/officeDocument/2006/relationships/hyperlink" Target="https://skinsmonkey.com/" TargetMode="External"/><Relationship Id="rId110" Type="http://schemas.openxmlformats.org/officeDocument/2006/relationships/hyperlink" Target="https://skins.cash/user/ref/76561198051792928" TargetMode="External"/><Relationship Id="rId114" Type="http://schemas.openxmlformats.org/officeDocument/2006/relationships/hyperlink" Target="https://exeskins.com/" TargetMode="External"/><Relationship Id="rId113" Type="http://schemas.openxmlformats.org/officeDocument/2006/relationships/hyperlink" Target="https://skinsauna.gg/" TargetMode="External"/><Relationship Id="rId112" Type="http://schemas.openxmlformats.org/officeDocument/2006/relationships/hyperlink" Target="http://waxpeer.com/r/RADAR" TargetMode="External"/><Relationship Id="rId111" Type="http://schemas.openxmlformats.org/officeDocument/2006/relationships/hyperlink" Target="https://csdeals.com/new/?ref=radar" TargetMode="External"/><Relationship Id="rId206" Type="http://schemas.openxmlformats.org/officeDocument/2006/relationships/drawing" Target="../drawings/drawing5.xml"/><Relationship Id="rId205" Type="http://schemas.openxmlformats.org/officeDocument/2006/relationships/hyperlink" Target="https://skinvault.gg/?aff=RADAR" TargetMode="External"/><Relationship Id="rId204" Type="http://schemas.openxmlformats.org/officeDocument/2006/relationships/hyperlink" Target="https://skinvault.gg/?aff=RADAR" TargetMode="External"/><Relationship Id="rId203" Type="http://schemas.openxmlformats.org/officeDocument/2006/relationships/hyperlink" Target="https://cs.trade/" TargetMode="External"/><Relationship Id="rId207" Type="http://schemas.openxmlformats.org/officeDocument/2006/relationships/vmlDrawing" Target="../drawings/vmlDrawing5.vml"/><Relationship Id="rId202" Type="http://schemas.openxmlformats.org/officeDocument/2006/relationships/hyperlink" Target="https://marketplace.tf/" TargetMode="External"/><Relationship Id="rId201" Type="http://schemas.openxmlformats.org/officeDocument/2006/relationships/hyperlink" Target="https://loot.farm/" TargetMode="External"/><Relationship Id="rId200" Type="http://schemas.openxmlformats.org/officeDocument/2006/relationships/hyperlink" Target="https://buff.163.com/"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skinout.gg/en" TargetMode="External"/><Relationship Id="rId42" Type="http://schemas.openxmlformats.org/officeDocument/2006/relationships/hyperlink" Target="https://skincantor.com/?code=RADAR" TargetMode="External"/><Relationship Id="rId41" Type="http://schemas.openxmlformats.org/officeDocument/2006/relationships/hyperlink" Target="https://exeskins.com/" TargetMode="External"/><Relationship Id="rId44" Type="http://schemas.openxmlformats.org/officeDocument/2006/relationships/hyperlink" Target="https://snipeskins.com/" TargetMode="External"/><Relationship Id="rId43" Type="http://schemas.openxmlformats.org/officeDocument/2006/relationships/hyperlink" Target="https://rustskins.com/r/radar" TargetMode="External"/><Relationship Id="rId46" Type="http://schemas.openxmlformats.org/officeDocument/2006/relationships/hyperlink" Target="https://backpack.tf/" TargetMode="External"/><Relationship Id="rId45" Type="http://schemas.openxmlformats.org/officeDocument/2006/relationships/hyperlink" Target="https://marketplace.tf/" TargetMode="External"/><Relationship Id="rId48" Type="http://schemas.openxmlformats.org/officeDocument/2006/relationships/hyperlink" Target="https://scrap.tf/" TargetMode="External"/><Relationship Id="rId47" Type="http://schemas.openxmlformats.org/officeDocument/2006/relationships/hyperlink" Target="https://stntrading.eu/" TargetMode="External"/><Relationship Id="rId49" Type="http://schemas.openxmlformats.org/officeDocument/2006/relationships/hyperlink" Target="https://mannco.trade/" TargetMode="External"/><Relationship Id="rId31" Type="http://schemas.openxmlformats.org/officeDocument/2006/relationships/hyperlink" Target="https://cs.money/" TargetMode="External"/><Relationship Id="rId30" Type="http://schemas.openxmlformats.org/officeDocument/2006/relationships/hyperlink" Target="https://buff.market/" TargetMode="External"/><Relationship Id="rId33" Type="http://schemas.openxmlformats.org/officeDocument/2006/relationships/hyperlink" Target="https://market.csgo.com/" TargetMode="External"/><Relationship Id="rId32" Type="http://schemas.openxmlformats.org/officeDocument/2006/relationships/hyperlink" Target="https://skinsmonkey.com/" TargetMode="External"/><Relationship Id="rId35" Type="http://schemas.openxmlformats.org/officeDocument/2006/relationships/hyperlink" Target="https://skinbid.com/" TargetMode="External"/><Relationship Id="rId34" Type="http://schemas.openxmlformats.org/officeDocument/2006/relationships/hyperlink" Target="https://skinbaron.de/en" TargetMode="External"/><Relationship Id="rId37" Type="http://schemas.openxmlformats.org/officeDocument/2006/relationships/hyperlink" Target="https://buff.163.com/" TargetMode="External"/><Relationship Id="rId36" Type="http://schemas.openxmlformats.org/officeDocument/2006/relationships/hyperlink" Target="https://skin.land/" TargetMode="External"/><Relationship Id="rId39" Type="http://schemas.openxmlformats.org/officeDocument/2006/relationships/hyperlink" Target="https://loot.farm/" TargetMode="External"/><Relationship Id="rId38" Type="http://schemas.openxmlformats.org/officeDocument/2006/relationships/hyperlink" Target="https://cs.trade/" TargetMode="External"/><Relationship Id="rId20" Type="http://schemas.openxmlformats.org/officeDocument/2006/relationships/hyperlink" Target="https://mannco.store/?ref=radar" TargetMode="External"/><Relationship Id="rId22" Type="http://schemas.openxmlformats.org/officeDocument/2006/relationships/hyperlink" Target="https://bitskins.com/?ref_alias=RADAR" TargetMode="External"/><Relationship Id="rId21" Type="http://schemas.openxmlformats.org/officeDocument/2006/relationships/hyperlink" Target="http://waxpeer.com/r/RADAR" TargetMode="External"/><Relationship Id="rId24" Type="http://schemas.openxmlformats.org/officeDocument/2006/relationships/hyperlink" Target="https://csdeals.com/new/?ref=radar" TargetMode="External"/><Relationship Id="rId23" Type="http://schemas.openxmlformats.org/officeDocument/2006/relationships/hyperlink" Target="https://shadowpay.com/?utm_campaign=S7OLWDWMGwMfRvP" TargetMode="External"/><Relationship Id="rId26" Type="http://schemas.openxmlformats.org/officeDocument/2006/relationships/hyperlink" Target="https://skinomat.com/r/RADAR" TargetMode="External"/><Relationship Id="rId25" Type="http://schemas.openxmlformats.org/officeDocument/2006/relationships/hyperlink" Target="https://skins.cash/user/ref/76561198051792928" TargetMode="External"/><Relationship Id="rId28" Type="http://schemas.openxmlformats.org/officeDocument/2006/relationships/hyperlink" Target="http://exeedme.com/?promoCode=RADAR" TargetMode="External"/><Relationship Id="rId27" Type="http://schemas.openxmlformats.org/officeDocument/2006/relationships/hyperlink" Target="https://aim.market/p/2295885f-cfbb-4b48-84ad-2b408a70a20c" TargetMode="External"/><Relationship Id="rId29" Type="http://schemas.openxmlformats.org/officeDocument/2006/relationships/hyperlink" Target="https://skinthunder.com/?ref=UAZEUEDK" TargetMode="External"/><Relationship Id="rId11" Type="http://schemas.openxmlformats.org/officeDocument/2006/relationships/hyperlink" Target="https://skinflow.gg/?referral=RADAR" TargetMode="External"/><Relationship Id="rId10" Type="http://schemas.openxmlformats.org/officeDocument/2006/relationships/hyperlink" Target="https://dmarket.com/?ref=KMSMNF72t9" TargetMode="External"/><Relationship Id="rId13" Type="http://schemas.openxmlformats.org/officeDocument/2006/relationships/hyperlink" Target="https://white.market/invite/9ce6858d5ef8bb9c" TargetMode="External"/><Relationship Id="rId12" Type="http://schemas.openxmlformats.org/officeDocument/2006/relationships/hyperlink" Target="https://skin.place/?utm_campaign=vVP2fTghQ1PFWcl" TargetMode="External"/><Relationship Id="rId15" Type="http://schemas.openxmlformats.org/officeDocument/2006/relationships/hyperlink" Target="https://sellyourskins.com/ref/RADAR" TargetMode="External"/><Relationship Id="rId14" Type="http://schemas.openxmlformats.org/officeDocument/2006/relationships/hyperlink" Target="https://skincashier.com/r/RADAR" TargetMode="External"/><Relationship Id="rId17" Type="http://schemas.openxmlformats.org/officeDocument/2006/relationships/hyperlink" Target="https://gamerpay.gg/partner/b10e1676f0" TargetMode="External"/><Relationship Id="rId16" Type="http://schemas.openxmlformats.org/officeDocument/2006/relationships/hyperlink" Target="https://pirateswap.com/?ref=radar" TargetMode="External"/><Relationship Id="rId19" Type="http://schemas.openxmlformats.org/officeDocument/2006/relationships/hyperlink" Target="https://rapidskins.com/a/RADAR" TargetMode="External"/><Relationship Id="rId18" Type="http://schemas.openxmlformats.org/officeDocument/2006/relationships/hyperlink" Target="https://swap.gg/?r=s9mDjgNr5z" TargetMode="External"/><Relationship Id="rId1" Type="http://schemas.openxmlformats.org/officeDocument/2006/relationships/hyperlink" Target="https://itrade.gg/?ref=RADAR" TargetMode="External"/><Relationship Id="rId2" Type="http://schemas.openxmlformats.org/officeDocument/2006/relationships/hyperlink" Target="https://csfloat.com/ref/RADAR" TargetMode="External"/><Relationship Id="rId3" Type="http://schemas.openxmlformats.org/officeDocument/2006/relationships/hyperlink" Target="https://skinvault.gg/?aff=RADAR" TargetMode="External"/><Relationship Id="rId4" Type="http://schemas.openxmlformats.org/officeDocument/2006/relationships/hyperlink" Target="https://skinport.com/r/radar" TargetMode="External"/><Relationship Id="rId9" Type="http://schemas.openxmlformats.org/officeDocument/2006/relationships/hyperlink" Target="https://skinswap.com/r/radar" TargetMode="External"/><Relationship Id="rId5" Type="http://schemas.openxmlformats.org/officeDocument/2006/relationships/hyperlink" Target="https://www.haloskins.com/?channelCode=Skinradar" TargetMode="External"/><Relationship Id="rId6" Type="http://schemas.openxmlformats.org/officeDocument/2006/relationships/hyperlink" Target="https://lis-skins.com/?rf=2630004" TargetMode="External"/><Relationship Id="rId7" Type="http://schemas.openxmlformats.org/officeDocument/2006/relationships/hyperlink" Target="https://tradeit.gg/?aff=RADAR" TargetMode="External"/><Relationship Id="rId8" Type="http://schemas.openxmlformats.org/officeDocument/2006/relationships/hyperlink" Target="https://avan.market/?r=RADAR" TargetMode="External"/><Relationship Id="rId62" Type="http://schemas.openxmlformats.org/officeDocument/2006/relationships/hyperlink" Target="https://merchant.tf/" TargetMode="External"/><Relationship Id="rId61" Type="http://schemas.openxmlformats.org/officeDocument/2006/relationships/hyperlink" Target="https://cashed.gg/" TargetMode="External"/><Relationship Id="rId64" Type="http://schemas.openxmlformats.org/officeDocument/2006/relationships/hyperlink" Target="https://csboard.com/" TargetMode="External"/><Relationship Id="rId63" Type="http://schemas.openxmlformats.org/officeDocument/2006/relationships/hyperlink" Target="https://ctrade.tf/" TargetMode="External"/><Relationship Id="rId65" Type="http://schemas.openxmlformats.org/officeDocument/2006/relationships/drawing" Target="../drawings/drawing6.xml"/><Relationship Id="rId60" Type="http://schemas.openxmlformats.org/officeDocument/2006/relationships/hyperlink" Target="https://ntskins.com/" TargetMode="External"/><Relationship Id="rId51" Type="http://schemas.openxmlformats.org/officeDocument/2006/relationships/hyperlink" Target="https://tf2mart.net/" TargetMode="External"/><Relationship Id="rId50" Type="http://schemas.openxmlformats.org/officeDocument/2006/relationships/hyperlink" Target="https://quicksell.store/" TargetMode="External"/><Relationship Id="rId53" Type="http://schemas.openxmlformats.org/officeDocument/2006/relationships/hyperlink" Target="https://sfuminator.tf/" TargetMode="External"/><Relationship Id="rId52" Type="http://schemas.openxmlformats.org/officeDocument/2006/relationships/hyperlink" Target="https://www.trade.tf/" TargetMode="External"/><Relationship Id="rId55" Type="http://schemas.openxmlformats.org/officeDocument/2006/relationships/hyperlink" Target="https://spells.tf/" TargetMode="External"/><Relationship Id="rId54" Type="http://schemas.openxmlformats.org/officeDocument/2006/relationships/hyperlink" Target="https://tf2trade.tf/" TargetMode="External"/><Relationship Id="rId57" Type="http://schemas.openxmlformats.org/officeDocument/2006/relationships/hyperlink" Target="https://dupe.fi/r/skinradar" TargetMode="External"/><Relationship Id="rId56" Type="http://schemas.openxmlformats.org/officeDocument/2006/relationships/hyperlink" Target="https://skinsauna.gg/" TargetMode="External"/><Relationship Id="rId59" Type="http://schemas.openxmlformats.org/officeDocument/2006/relationships/hyperlink" Target="https://www.uuskins.com/" TargetMode="External"/><Relationship Id="rId58" Type="http://schemas.openxmlformats.org/officeDocument/2006/relationships/hyperlink" Target="https://skin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5"/>
    <col customWidth="1" min="2" max="2" width="23.75"/>
    <col customWidth="1" min="3" max="3" width="16.5"/>
    <col customWidth="1" min="4" max="4" width="15.13"/>
    <col customWidth="1" min="5" max="5" width="15.75"/>
    <col customWidth="1" min="6" max="6" width="15.13"/>
    <col customWidth="1" min="8" max="8" width="13.63"/>
    <col customWidth="1" min="9" max="9" width="35.88"/>
    <col customWidth="1" min="10" max="10" width="16.75"/>
    <col customWidth="1" min="12" max="12" width="14.5"/>
    <col customWidth="1" min="13" max="13" width="16.25"/>
    <col customWidth="1" min="14" max="14" width="12.0"/>
    <col customWidth="1" min="15" max="15" width="35.38"/>
    <col customWidth="1" min="16" max="16" width="40.25"/>
    <col customWidth="1" min="17" max="17" width="16.0"/>
    <col customWidth="1" min="18" max="18" width="86.25"/>
    <col customWidth="1" min="19" max="19" width="50.38"/>
  </cols>
  <sheetData>
    <row r="1">
      <c r="A1" s="1" t="s">
        <v>0</v>
      </c>
      <c r="B1" s="1" t="s">
        <v>1</v>
      </c>
      <c r="C1" s="2" t="s">
        <v>2</v>
      </c>
      <c r="D1" s="2" t="s">
        <v>3</v>
      </c>
      <c r="E1" s="3" t="s">
        <v>4</v>
      </c>
      <c r="F1" s="4" t="s">
        <v>5</v>
      </c>
      <c r="G1" s="2" t="s">
        <v>6</v>
      </c>
      <c r="H1" s="2" t="s">
        <v>7</v>
      </c>
      <c r="I1" s="1" t="s">
        <v>8</v>
      </c>
      <c r="J1" s="1" t="s">
        <v>9</v>
      </c>
      <c r="K1" s="1" t="s">
        <v>10</v>
      </c>
      <c r="L1" s="1" t="s">
        <v>11</v>
      </c>
      <c r="M1" s="4" t="s">
        <v>12</v>
      </c>
      <c r="N1" s="4" t="s">
        <v>13</v>
      </c>
      <c r="O1" s="5" t="s">
        <v>14</v>
      </c>
      <c r="P1" s="5" t="s">
        <v>15</v>
      </c>
      <c r="Q1" s="1" t="s">
        <v>16</v>
      </c>
      <c r="R1" s="5" t="s">
        <v>17</v>
      </c>
      <c r="S1" s="5" t="s">
        <v>18</v>
      </c>
      <c r="W1" s="4"/>
    </row>
    <row r="2">
      <c r="A2" s="6" t="s">
        <v>22</v>
      </c>
      <c r="B2" s="7" t="s">
        <v>41</v>
      </c>
      <c r="C2" s="20" t="s">
        <v>52</v>
      </c>
      <c r="D2" s="9" t="s">
        <v>54</v>
      </c>
      <c r="E2" s="9" t="s">
        <v>56</v>
      </c>
      <c r="F2" s="22">
        <v>-0.12</v>
      </c>
      <c r="G2" s="9" t="s">
        <v>58</v>
      </c>
      <c r="H2" s="11" t="s">
        <v>48</v>
      </c>
      <c r="I2" s="10" t="s">
        <v>62</v>
      </c>
      <c r="J2" s="24" t="s">
        <v>64</v>
      </c>
      <c r="K2" s="10" t="s">
        <v>53</v>
      </c>
      <c r="L2" s="25">
        <v>4.7</v>
      </c>
      <c r="M2" s="14">
        <v>21685.0</v>
      </c>
      <c r="N2" s="15">
        <v>3100000.0</v>
      </c>
      <c r="O2" s="20" t="s">
        <v>31</v>
      </c>
      <c r="P2" s="20" t="s">
        <v>59</v>
      </c>
      <c r="Q2" s="7" t="s">
        <v>74</v>
      </c>
      <c r="R2" s="20" t="s">
        <v>78</v>
      </c>
      <c r="S2" s="20" t="s">
        <v>79</v>
      </c>
      <c r="W2" s="7"/>
    </row>
    <row r="3">
      <c r="A3" s="6" t="s">
        <v>80</v>
      </c>
      <c r="B3" s="7" t="s">
        <v>41</v>
      </c>
      <c r="C3" s="20" t="s">
        <v>86</v>
      </c>
      <c r="D3" s="9" t="s">
        <v>87</v>
      </c>
      <c r="E3" s="9" t="s">
        <v>88</v>
      </c>
      <c r="F3" s="22">
        <v>-0.17</v>
      </c>
      <c r="G3" s="9" t="s">
        <v>89</v>
      </c>
      <c r="H3" s="9" t="s">
        <v>90</v>
      </c>
      <c r="I3" s="7" t="s">
        <v>91</v>
      </c>
      <c r="J3" s="6" t="s">
        <v>92</v>
      </c>
      <c r="K3" s="7" t="s">
        <v>53</v>
      </c>
      <c r="L3" s="26">
        <v>4.6</v>
      </c>
      <c r="M3" s="14">
        <v>1536.0</v>
      </c>
      <c r="N3" s="19">
        <v>718900.0</v>
      </c>
      <c r="O3" s="20" t="s">
        <v>31</v>
      </c>
      <c r="P3" s="20" t="s">
        <v>68</v>
      </c>
      <c r="Q3" s="10" t="s">
        <v>96</v>
      </c>
      <c r="R3" s="20" t="s">
        <v>98</v>
      </c>
      <c r="S3" s="20" t="s">
        <v>99</v>
      </c>
      <c r="W3" s="7"/>
    </row>
    <row r="4">
      <c r="A4" s="6" t="s">
        <v>101</v>
      </c>
      <c r="B4" s="7" t="s">
        <v>102</v>
      </c>
      <c r="C4" s="21" t="s">
        <v>103</v>
      </c>
      <c r="D4" s="9" t="s">
        <v>104</v>
      </c>
      <c r="E4" s="9" t="s">
        <v>105</v>
      </c>
      <c r="F4" s="22"/>
      <c r="G4" s="22">
        <v>0.0</v>
      </c>
      <c r="H4" s="22">
        <v>0.0</v>
      </c>
      <c r="I4" s="7" t="s">
        <v>108</v>
      </c>
      <c r="J4" s="17" t="s">
        <v>109</v>
      </c>
      <c r="K4" s="7" t="s">
        <v>53</v>
      </c>
      <c r="L4" s="25">
        <v>4.1</v>
      </c>
      <c r="M4" s="14">
        <v>181.0</v>
      </c>
      <c r="N4" s="19">
        <v>137600.0</v>
      </c>
      <c r="O4" s="20" t="s">
        <v>31</v>
      </c>
      <c r="P4" s="20" t="s">
        <v>59</v>
      </c>
      <c r="Q4" s="10" t="s">
        <v>96</v>
      </c>
      <c r="R4" s="20" t="s">
        <v>111</v>
      </c>
      <c r="S4" s="20" t="s">
        <v>112</v>
      </c>
      <c r="W4" s="7"/>
    </row>
    <row r="5">
      <c r="A5" s="6" t="s">
        <v>19</v>
      </c>
      <c r="B5" s="7" t="s">
        <v>23</v>
      </c>
      <c r="C5" s="8">
        <v>0.0</v>
      </c>
      <c r="D5" s="9" t="s">
        <v>24</v>
      </c>
      <c r="E5" s="9"/>
      <c r="F5" s="10"/>
      <c r="G5" s="8">
        <v>0.0</v>
      </c>
      <c r="H5" s="8">
        <v>0.0</v>
      </c>
      <c r="I5" s="10" t="s">
        <v>26</v>
      </c>
      <c r="J5" s="6" t="s">
        <v>27</v>
      </c>
      <c r="K5" s="10"/>
      <c r="L5" s="12">
        <v>4.8</v>
      </c>
      <c r="M5" s="14">
        <v>35310.0</v>
      </c>
      <c r="N5" s="15">
        <v>3600000.0</v>
      </c>
      <c r="O5" s="20" t="s">
        <v>30</v>
      </c>
      <c r="P5" s="20" t="s">
        <v>32</v>
      </c>
      <c r="Q5" s="10" t="s">
        <v>120</v>
      </c>
      <c r="R5" s="20" t="s">
        <v>34</v>
      </c>
      <c r="S5" s="20" t="s">
        <v>35</v>
      </c>
      <c r="W5" s="7"/>
    </row>
    <row r="6">
      <c r="A6" s="6" t="s">
        <v>121</v>
      </c>
      <c r="B6" s="7" t="s">
        <v>125</v>
      </c>
      <c r="C6" s="22">
        <v>0.0</v>
      </c>
      <c r="D6" s="8">
        <v>0.02</v>
      </c>
      <c r="E6" s="8"/>
      <c r="F6" s="13"/>
      <c r="G6" s="9" t="s">
        <v>126</v>
      </c>
      <c r="H6" s="9" t="s">
        <v>128</v>
      </c>
      <c r="I6" s="10" t="s">
        <v>26</v>
      </c>
      <c r="J6" s="6" t="s">
        <v>129</v>
      </c>
      <c r="K6" s="7"/>
      <c r="L6" s="18">
        <v>4.8</v>
      </c>
      <c r="M6" s="14">
        <v>8841.0</v>
      </c>
      <c r="N6" s="15">
        <v>1.27E7</v>
      </c>
      <c r="O6" s="20" t="s">
        <v>57</v>
      </c>
      <c r="P6" s="20" t="s">
        <v>59</v>
      </c>
      <c r="Q6" s="10" t="s">
        <v>96</v>
      </c>
      <c r="R6" s="20" t="s">
        <v>135</v>
      </c>
      <c r="S6" s="20" t="s">
        <v>136</v>
      </c>
      <c r="W6" s="7"/>
    </row>
    <row r="7">
      <c r="A7" s="6" t="s">
        <v>55</v>
      </c>
      <c r="B7" s="7" t="s">
        <v>140</v>
      </c>
      <c r="C7" s="29">
        <v>0.025</v>
      </c>
      <c r="D7" s="8">
        <v>0.02</v>
      </c>
      <c r="E7" s="8"/>
      <c r="F7" s="22">
        <v>-0.07</v>
      </c>
      <c r="G7" s="8" t="s">
        <v>66</v>
      </c>
      <c r="H7" s="9" t="s">
        <v>48</v>
      </c>
      <c r="I7" s="10" t="s">
        <v>26</v>
      </c>
      <c r="J7" s="6" t="s">
        <v>67</v>
      </c>
      <c r="K7" s="10"/>
      <c r="L7" s="25">
        <v>4.0</v>
      </c>
      <c r="M7" s="14">
        <v>21779.0</v>
      </c>
      <c r="N7" s="15">
        <v>2100000.0</v>
      </c>
      <c r="O7" s="20" t="s">
        <v>31</v>
      </c>
      <c r="P7" s="20" t="s">
        <v>37</v>
      </c>
      <c r="Q7" s="10" t="s">
        <v>120</v>
      </c>
      <c r="R7" s="20" t="s">
        <v>75</v>
      </c>
      <c r="S7" s="20" t="s">
        <v>148</v>
      </c>
      <c r="W7" s="7"/>
    </row>
    <row r="8">
      <c r="A8" s="6" t="s">
        <v>36</v>
      </c>
      <c r="B8" s="7" t="s">
        <v>43</v>
      </c>
      <c r="C8" s="9" t="s">
        <v>153</v>
      </c>
      <c r="D8" s="3"/>
      <c r="E8" s="3"/>
      <c r="F8" s="22">
        <v>-0.07</v>
      </c>
      <c r="G8" s="9" t="s">
        <v>45</v>
      </c>
      <c r="H8" s="9" t="s">
        <v>138</v>
      </c>
      <c r="I8" s="10" t="s">
        <v>26</v>
      </c>
      <c r="J8" s="23" t="s">
        <v>49</v>
      </c>
      <c r="K8" s="10"/>
      <c r="L8" s="25">
        <v>4.9</v>
      </c>
      <c r="M8" s="14">
        <v>7552.0</v>
      </c>
      <c r="N8" s="15">
        <v>1.12E7</v>
      </c>
      <c r="O8" s="20" t="s">
        <v>57</v>
      </c>
      <c r="P8" s="20" t="s">
        <v>59</v>
      </c>
      <c r="Q8" s="10" t="s">
        <v>158</v>
      </c>
      <c r="R8" s="20" t="s">
        <v>61</v>
      </c>
      <c r="S8" s="20" t="s">
        <v>159</v>
      </c>
      <c r="W8" s="7"/>
    </row>
    <row r="9">
      <c r="A9" s="6" t="s">
        <v>160</v>
      </c>
      <c r="B9" s="7" t="s">
        <v>41</v>
      </c>
      <c r="C9" s="20" t="s">
        <v>167</v>
      </c>
      <c r="D9" s="9" t="s">
        <v>169</v>
      </c>
      <c r="E9" s="22">
        <v>0.13</v>
      </c>
      <c r="F9" s="22">
        <v>-0.06</v>
      </c>
      <c r="G9" s="22">
        <v>0.0</v>
      </c>
      <c r="H9" s="9" t="s">
        <v>175</v>
      </c>
      <c r="I9" s="7" t="s">
        <v>176</v>
      </c>
      <c r="J9" s="17" t="s">
        <v>178</v>
      </c>
      <c r="K9" s="7" t="s">
        <v>53</v>
      </c>
      <c r="L9" s="25">
        <v>4.6</v>
      </c>
      <c r="M9" s="14">
        <v>4445.0</v>
      </c>
      <c r="N9" s="19">
        <v>1300000.0</v>
      </c>
      <c r="O9" s="20" t="s">
        <v>31</v>
      </c>
      <c r="P9" s="20" t="s">
        <v>142</v>
      </c>
      <c r="Q9" s="10" t="s">
        <v>96</v>
      </c>
      <c r="R9" s="20" t="s">
        <v>183</v>
      </c>
      <c r="S9" s="20" t="s">
        <v>184</v>
      </c>
      <c r="W9" s="7"/>
    </row>
    <row r="10">
      <c r="A10" s="6" t="s">
        <v>20</v>
      </c>
      <c r="B10" s="7" t="s">
        <v>41</v>
      </c>
      <c r="C10" s="20" t="s">
        <v>188</v>
      </c>
      <c r="D10" s="9" t="s">
        <v>189</v>
      </c>
      <c r="E10" s="9" t="s">
        <v>191</v>
      </c>
      <c r="F10" s="22">
        <v>-0.23</v>
      </c>
      <c r="G10" s="9" t="s">
        <v>46</v>
      </c>
      <c r="H10" s="9" t="s">
        <v>48</v>
      </c>
      <c r="I10" s="7" t="s">
        <v>194</v>
      </c>
      <c r="J10" s="24" t="s">
        <v>51</v>
      </c>
      <c r="K10" s="10" t="s">
        <v>53</v>
      </c>
      <c r="L10" s="25">
        <v>4.2</v>
      </c>
      <c r="M10" s="14">
        <v>2052.0</v>
      </c>
      <c r="N10" s="19">
        <v>1100000.0</v>
      </c>
      <c r="O10" s="20" t="s">
        <v>31</v>
      </c>
      <c r="P10" s="20" t="s">
        <v>68</v>
      </c>
      <c r="Q10" s="10" t="s">
        <v>195</v>
      </c>
      <c r="R10" s="20" t="s">
        <v>70</v>
      </c>
      <c r="S10" s="20" t="s">
        <v>71</v>
      </c>
      <c r="W10" s="7"/>
    </row>
    <row r="11">
      <c r="A11" s="6" t="s">
        <v>65</v>
      </c>
      <c r="B11" s="7" t="s">
        <v>43</v>
      </c>
      <c r="C11" s="9" t="s">
        <v>199</v>
      </c>
      <c r="D11" s="3"/>
      <c r="E11" s="3"/>
      <c r="F11" s="22">
        <v>-0.13</v>
      </c>
      <c r="G11" s="32" t="s">
        <v>72</v>
      </c>
      <c r="H11" s="9" t="s">
        <v>73</v>
      </c>
      <c r="I11" s="10" t="s">
        <v>26</v>
      </c>
      <c r="J11" s="24" t="s">
        <v>76</v>
      </c>
      <c r="K11" s="10"/>
      <c r="L11" s="18">
        <v>4.5</v>
      </c>
      <c r="M11" s="14">
        <v>1765.0</v>
      </c>
      <c r="N11" s="19">
        <v>790600.0</v>
      </c>
      <c r="O11" s="20" t="s">
        <v>57</v>
      </c>
      <c r="P11" s="20" t="s">
        <v>37</v>
      </c>
      <c r="Q11" s="7" t="s">
        <v>206</v>
      </c>
      <c r="R11" s="20" t="s">
        <v>81</v>
      </c>
      <c r="S11" s="20" t="s">
        <v>82</v>
      </c>
      <c r="W11" s="7"/>
    </row>
    <row r="12">
      <c r="A12" s="6" t="s">
        <v>21</v>
      </c>
      <c r="B12" s="7" t="s">
        <v>25</v>
      </c>
      <c r="C12" s="11"/>
      <c r="D12" s="8">
        <v>0.05</v>
      </c>
      <c r="E12" s="8"/>
      <c r="F12" s="13"/>
      <c r="G12" s="22">
        <v>0.04</v>
      </c>
      <c r="H12" s="9" t="s">
        <v>28</v>
      </c>
      <c r="I12" s="10" t="s">
        <v>26</v>
      </c>
      <c r="J12" s="17" t="s">
        <v>29</v>
      </c>
      <c r="K12" s="10"/>
      <c r="L12" s="18">
        <v>3.9</v>
      </c>
      <c r="M12" s="14">
        <v>2914.0</v>
      </c>
      <c r="N12" s="19">
        <v>571600.0</v>
      </c>
      <c r="O12" s="20" t="s">
        <v>31</v>
      </c>
      <c r="P12" s="20" t="s">
        <v>37</v>
      </c>
      <c r="Q12" s="10" t="s">
        <v>120</v>
      </c>
      <c r="R12" s="20" t="s">
        <v>218</v>
      </c>
      <c r="S12" s="20" t="s">
        <v>40</v>
      </c>
      <c r="W12" s="7"/>
    </row>
    <row r="13">
      <c r="A13" s="6" t="s">
        <v>155</v>
      </c>
      <c r="B13" s="7" t="s">
        <v>162</v>
      </c>
      <c r="C13" s="21" t="s">
        <v>221</v>
      </c>
      <c r="D13" s="21" t="s">
        <v>222</v>
      </c>
      <c r="E13" s="9" t="s">
        <v>223</v>
      </c>
      <c r="F13" s="9"/>
      <c r="G13" s="9" t="s">
        <v>168</v>
      </c>
      <c r="H13" s="11"/>
      <c r="I13" s="10" t="s">
        <v>170</v>
      </c>
      <c r="J13" s="6" t="s">
        <v>224</v>
      </c>
      <c r="K13" s="10" t="s">
        <v>53</v>
      </c>
      <c r="L13" s="18">
        <v>4.8</v>
      </c>
      <c r="M13" s="14">
        <v>126.0</v>
      </c>
      <c r="N13" s="19">
        <v>95500.0</v>
      </c>
      <c r="O13" s="20" t="s">
        <v>180</v>
      </c>
      <c r="P13" s="28"/>
      <c r="Q13" s="10" t="s">
        <v>195</v>
      </c>
      <c r="R13" s="20" t="s">
        <v>182</v>
      </c>
      <c r="W13" s="10"/>
    </row>
    <row r="14">
      <c r="A14" s="6" t="s">
        <v>226</v>
      </c>
      <c r="B14" s="7" t="s">
        <v>23</v>
      </c>
      <c r="C14" s="8">
        <v>0.05</v>
      </c>
      <c r="D14" s="11" t="s">
        <v>229</v>
      </c>
      <c r="E14" s="11"/>
      <c r="F14" s="10"/>
      <c r="G14" s="9" t="s">
        <v>230</v>
      </c>
      <c r="H14" s="22">
        <v>0.0</v>
      </c>
      <c r="I14" s="7" t="s">
        <v>232</v>
      </c>
      <c r="J14" s="17" t="s">
        <v>235</v>
      </c>
      <c r="K14" s="7" t="s">
        <v>53</v>
      </c>
      <c r="L14" s="25">
        <v>4.6</v>
      </c>
      <c r="M14" s="14">
        <v>4094.0</v>
      </c>
      <c r="N14" s="19">
        <v>557200.0</v>
      </c>
      <c r="O14" s="20" t="s">
        <v>30</v>
      </c>
      <c r="P14" s="20" t="s">
        <v>32</v>
      </c>
      <c r="Q14" s="10" t="s">
        <v>96</v>
      </c>
      <c r="R14" s="20" t="s">
        <v>237</v>
      </c>
      <c r="S14" s="20" t="s">
        <v>238</v>
      </c>
      <c r="W14" s="7"/>
    </row>
    <row r="15">
      <c r="A15" s="6" t="s">
        <v>118</v>
      </c>
      <c r="B15" s="7" t="s">
        <v>43</v>
      </c>
      <c r="C15" s="9" t="s">
        <v>244</v>
      </c>
      <c r="D15" s="3"/>
      <c r="E15" s="3"/>
      <c r="F15" s="22">
        <v>-0.07</v>
      </c>
      <c r="G15" s="9" t="s">
        <v>132</v>
      </c>
      <c r="H15" s="36">
        <v>1.0</v>
      </c>
      <c r="I15" s="10" t="s">
        <v>26</v>
      </c>
      <c r="J15" s="17" t="s">
        <v>139</v>
      </c>
      <c r="K15" s="10"/>
      <c r="L15" s="26">
        <v>4.2</v>
      </c>
      <c r="M15" s="12">
        <v>932.0</v>
      </c>
      <c r="N15" s="19">
        <v>599500.0</v>
      </c>
      <c r="O15" s="20" t="s">
        <v>142</v>
      </c>
      <c r="P15" s="20" t="s">
        <v>142</v>
      </c>
      <c r="Q15" s="7" t="s">
        <v>158</v>
      </c>
      <c r="R15" s="20" t="s">
        <v>248</v>
      </c>
      <c r="S15" s="20" t="s">
        <v>145</v>
      </c>
      <c r="W15" s="7"/>
    </row>
    <row r="16">
      <c r="A16" s="6" t="s">
        <v>149</v>
      </c>
      <c r="B16" s="7" t="s">
        <v>43</v>
      </c>
      <c r="C16" s="9" t="s">
        <v>253</v>
      </c>
      <c r="D16" s="3"/>
      <c r="E16" s="3"/>
      <c r="F16" s="22">
        <v>-0.06</v>
      </c>
      <c r="G16" s="9" t="s">
        <v>173</v>
      </c>
      <c r="H16" s="9" t="s">
        <v>177</v>
      </c>
      <c r="I16" s="7" t="s">
        <v>179</v>
      </c>
      <c r="J16" s="24" t="s">
        <v>181</v>
      </c>
      <c r="K16" s="10"/>
      <c r="L16" s="25">
        <v>4.2</v>
      </c>
      <c r="M16" s="14">
        <v>1918.0</v>
      </c>
      <c r="N16" s="19">
        <v>370700.0</v>
      </c>
      <c r="O16" s="20" t="s">
        <v>57</v>
      </c>
      <c r="P16" s="20" t="s">
        <v>37</v>
      </c>
      <c r="Q16" s="10" t="s">
        <v>158</v>
      </c>
      <c r="R16" s="20" t="s">
        <v>196</v>
      </c>
      <c r="S16" s="20" t="s">
        <v>197</v>
      </c>
    </row>
    <row r="17">
      <c r="A17" s="6" t="s">
        <v>124</v>
      </c>
      <c r="B17" s="7" t="s">
        <v>127</v>
      </c>
      <c r="C17" s="9"/>
      <c r="D17" s="9"/>
      <c r="E17" s="9"/>
      <c r="F17" s="22">
        <v>-0.13</v>
      </c>
      <c r="G17" s="9"/>
      <c r="H17" s="9" t="s">
        <v>130</v>
      </c>
      <c r="I17" s="7" t="s">
        <v>131</v>
      </c>
      <c r="J17" s="17" t="s">
        <v>133</v>
      </c>
      <c r="K17" s="7" t="s">
        <v>53</v>
      </c>
      <c r="L17" s="25">
        <v>4.5</v>
      </c>
      <c r="M17" s="18">
        <v>309.0</v>
      </c>
      <c r="N17" s="19">
        <v>114100.0</v>
      </c>
      <c r="O17" s="28"/>
      <c r="P17" s="20" t="s">
        <v>37</v>
      </c>
      <c r="Q17" s="10" t="s">
        <v>120</v>
      </c>
      <c r="S17" s="20" t="s">
        <v>137</v>
      </c>
      <c r="W17" s="10"/>
    </row>
    <row r="18">
      <c r="A18" s="6" t="s">
        <v>193</v>
      </c>
      <c r="B18" s="37" t="s">
        <v>147</v>
      </c>
      <c r="L18" s="38">
        <v>4.1</v>
      </c>
      <c r="M18" s="39">
        <v>45.0</v>
      </c>
      <c r="P18" s="10" t="s">
        <v>142</v>
      </c>
      <c r="Q18" s="7" t="s">
        <v>278</v>
      </c>
      <c r="R18" s="20" t="s">
        <v>279</v>
      </c>
      <c r="S18" s="20" t="s">
        <v>280</v>
      </c>
    </row>
    <row r="19">
      <c r="A19" s="6" t="s">
        <v>281</v>
      </c>
      <c r="B19" s="7" t="s">
        <v>285</v>
      </c>
      <c r="C19" s="21" t="s">
        <v>286</v>
      </c>
      <c r="D19" s="9" t="s">
        <v>287</v>
      </c>
      <c r="E19" s="9" t="s">
        <v>288</v>
      </c>
      <c r="F19" s="22">
        <v>-0.07</v>
      </c>
      <c r="G19" s="9" t="s">
        <v>289</v>
      </c>
      <c r="H19" s="9" t="s">
        <v>290</v>
      </c>
      <c r="I19" s="10" t="s">
        <v>26</v>
      </c>
      <c r="J19" s="6" t="s">
        <v>291</v>
      </c>
      <c r="K19" s="10"/>
      <c r="L19" s="25">
        <v>4.7</v>
      </c>
      <c r="M19" s="14">
        <v>8636.0</v>
      </c>
      <c r="N19" s="15">
        <v>7900000.0</v>
      </c>
      <c r="O19" s="20" t="s">
        <v>31</v>
      </c>
      <c r="P19" s="20" t="s">
        <v>32</v>
      </c>
      <c r="Q19" s="10" t="s">
        <v>96</v>
      </c>
      <c r="R19" s="20" t="s">
        <v>295</v>
      </c>
      <c r="S19" s="20" t="s">
        <v>296</v>
      </c>
      <c r="W19" s="7"/>
    </row>
    <row r="20">
      <c r="A20" s="6" t="s">
        <v>174</v>
      </c>
      <c r="B20" s="7" t="s">
        <v>127</v>
      </c>
      <c r="C20" s="9"/>
      <c r="D20" s="9"/>
      <c r="E20" s="9"/>
      <c r="F20" s="22">
        <v>-0.22</v>
      </c>
      <c r="G20" s="9"/>
      <c r="H20" s="9" t="s">
        <v>257</v>
      </c>
      <c r="I20" s="10" t="s">
        <v>186</v>
      </c>
      <c r="J20" s="24" t="s">
        <v>187</v>
      </c>
      <c r="K20" s="10" t="s">
        <v>53</v>
      </c>
      <c r="L20" s="25">
        <v>4.2</v>
      </c>
      <c r="M20" s="14">
        <v>2196.0</v>
      </c>
      <c r="N20" s="19">
        <v>81100.0</v>
      </c>
      <c r="O20" s="28"/>
      <c r="P20" s="20" t="s">
        <v>68</v>
      </c>
      <c r="Q20" s="7" t="s">
        <v>301</v>
      </c>
      <c r="S20" s="20" t="s">
        <v>192</v>
      </c>
      <c r="W20" s="10"/>
    </row>
    <row r="21">
      <c r="A21" s="6" t="s">
        <v>304</v>
      </c>
      <c r="B21" s="10" t="s">
        <v>147</v>
      </c>
      <c r="C21" s="8">
        <v>0.0</v>
      </c>
      <c r="D21" s="29">
        <v>0.025</v>
      </c>
      <c r="E21" s="29"/>
      <c r="F21" s="40"/>
      <c r="G21" s="9" t="s">
        <v>308</v>
      </c>
      <c r="H21" s="22">
        <v>0.01</v>
      </c>
      <c r="I21" s="7" t="s">
        <v>309</v>
      </c>
      <c r="J21" s="34" t="s">
        <v>310</v>
      </c>
      <c r="K21" s="10"/>
      <c r="L21" s="25">
        <v>4.7</v>
      </c>
      <c r="M21" s="14">
        <v>1032.0</v>
      </c>
      <c r="N21" s="19">
        <v>348600.0</v>
      </c>
      <c r="O21" s="20" t="s">
        <v>57</v>
      </c>
      <c r="P21" s="20" t="s">
        <v>32</v>
      </c>
      <c r="Q21" s="10" t="s">
        <v>96</v>
      </c>
      <c r="R21" s="20" t="s">
        <v>312</v>
      </c>
      <c r="S21" s="20" t="s">
        <v>313</v>
      </c>
      <c r="W21" s="7"/>
    </row>
    <row r="22">
      <c r="A22" s="6" t="s">
        <v>264</v>
      </c>
      <c r="B22" s="7" t="s">
        <v>102</v>
      </c>
      <c r="C22" s="21" t="s">
        <v>315</v>
      </c>
      <c r="D22" s="9" t="s">
        <v>316</v>
      </c>
      <c r="E22" s="22">
        <v>0.08</v>
      </c>
      <c r="F22" s="9"/>
      <c r="G22" s="22">
        <v>0.0</v>
      </c>
      <c r="H22" s="11"/>
      <c r="I22" s="7" t="s">
        <v>272</v>
      </c>
      <c r="J22" s="34" t="s">
        <v>273</v>
      </c>
      <c r="K22" s="7" t="s">
        <v>53</v>
      </c>
      <c r="L22" s="25">
        <v>4.4</v>
      </c>
      <c r="M22" s="14">
        <v>335.0</v>
      </c>
      <c r="N22" s="19">
        <v>176100.0</v>
      </c>
      <c r="O22" s="20" t="s">
        <v>30</v>
      </c>
      <c r="P22" s="28"/>
      <c r="Q22" s="10" t="s">
        <v>120</v>
      </c>
      <c r="R22" s="20" t="s">
        <v>318</v>
      </c>
      <c r="W22" s="7"/>
    </row>
    <row r="23">
      <c r="A23" s="6" t="s">
        <v>319</v>
      </c>
      <c r="B23" s="7" t="s">
        <v>201</v>
      </c>
      <c r="C23" s="8">
        <v>0.0</v>
      </c>
      <c r="D23" s="8">
        <v>0.05</v>
      </c>
      <c r="E23" s="8"/>
      <c r="F23" s="22">
        <v>-0.14</v>
      </c>
      <c r="G23" s="8" t="s">
        <v>45</v>
      </c>
      <c r="H23" s="8" t="s">
        <v>132</v>
      </c>
      <c r="I23" s="10" t="s">
        <v>26</v>
      </c>
      <c r="J23" s="24" t="s">
        <v>322</v>
      </c>
      <c r="K23" s="10"/>
      <c r="L23" s="25">
        <v>4.1</v>
      </c>
      <c r="M23" s="14">
        <v>190.0</v>
      </c>
      <c r="N23" s="19">
        <v>564500.0</v>
      </c>
      <c r="O23" s="20" t="s">
        <v>31</v>
      </c>
      <c r="P23" s="20" t="s">
        <v>142</v>
      </c>
      <c r="Q23" s="10" t="s">
        <v>96</v>
      </c>
      <c r="R23" s="20" t="s">
        <v>323</v>
      </c>
      <c r="S23" s="20" t="s">
        <v>324</v>
      </c>
      <c r="W23" s="7"/>
    </row>
    <row r="24">
      <c r="A24" s="6" t="s">
        <v>231</v>
      </c>
      <c r="B24" s="7" t="s">
        <v>330</v>
      </c>
      <c r="C24" s="9" t="s">
        <v>331</v>
      </c>
      <c r="D24" s="9" t="s">
        <v>332</v>
      </c>
      <c r="E24" s="9" t="s">
        <v>333</v>
      </c>
      <c r="F24" s="22">
        <v>-0.07</v>
      </c>
      <c r="G24" s="9" t="s">
        <v>45</v>
      </c>
      <c r="H24" s="22">
        <v>0.05</v>
      </c>
      <c r="I24" s="10" t="s">
        <v>26</v>
      </c>
      <c r="J24" s="24" t="s">
        <v>242</v>
      </c>
      <c r="K24" s="10"/>
      <c r="L24" s="25">
        <v>4.0</v>
      </c>
      <c r="M24" s="18">
        <v>865.0</v>
      </c>
      <c r="N24" s="19">
        <v>255300.0</v>
      </c>
      <c r="O24" s="20" t="s">
        <v>57</v>
      </c>
      <c r="P24" s="20" t="s">
        <v>59</v>
      </c>
      <c r="Q24" s="10" t="s">
        <v>158</v>
      </c>
      <c r="R24" s="20" t="s">
        <v>249</v>
      </c>
      <c r="S24" s="20" t="s">
        <v>337</v>
      </c>
      <c r="W24" s="7"/>
    </row>
    <row r="25">
      <c r="A25" s="6" t="s">
        <v>259</v>
      </c>
      <c r="B25" s="7" t="s">
        <v>41</v>
      </c>
      <c r="C25" s="21" t="s">
        <v>338</v>
      </c>
      <c r="D25" s="9" t="s">
        <v>107</v>
      </c>
      <c r="E25" s="9" t="s">
        <v>340</v>
      </c>
      <c r="F25" s="22">
        <v>-0.1</v>
      </c>
      <c r="G25" s="9" t="s">
        <v>116</v>
      </c>
      <c r="H25" s="9" t="s">
        <v>267</v>
      </c>
      <c r="I25" s="10" t="s">
        <v>268</v>
      </c>
      <c r="J25" s="24" t="s">
        <v>269</v>
      </c>
      <c r="K25" s="10" t="s">
        <v>53</v>
      </c>
      <c r="L25" s="18">
        <v>4.2</v>
      </c>
      <c r="M25" s="14">
        <v>351.0</v>
      </c>
      <c r="N25" s="19">
        <v>22100.0</v>
      </c>
      <c r="O25" s="20" t="s">
        <v>31</v>
      </c>
      <c r="P25" s="20" t="s">
        <v>37</v>
      </c>
      <c r="Q25" s="10" t="s">
        <v>195</v>
      </c>
      <c r="R25" s="20" t="s">
        <v>343</v>
      </c>
      <c r="S25" s="20" t="s">
        <v>344</v>
      </c>
      <c r="W25" s="7"/>
    </row>
    <row r="26">
      <c r="A26" s="6" t="s">
        <v>236</v>
      </c>
      <c r="B26" s="7" t="s">
        <v>239</v>
      </c>
      <c r="C26" s="21" t="s">
        <v>346</v>
      </c>
      <c r="D26" s="32" t="s">
        <v>347</v>
      </c>
      <c r="E26" s="32" t="s">
        <v>348</v>
      </c>
      <c r="F26" s="22">
        <v>-0.18</v>
      </c>
      <c r="G26" s="22">
        <v>0.0</v>
      </c>
      <c r="H26" s="22">
        <v>0.0</v>
      </c>
      <c r="I26" s="10" t="s">
        <v>26</v>
      </c>
      <c r="J26" s="23" t="s">
        <v>243</v>
      </c>
      <c r="K26" s="10"/>
      <c r="L26" s="18">
        <v>4.3</v>
      </c>
      <c r="M26" s="14">
        <v>2456.0</v>
      </c>
      <c r="N26" s="19">
        <v>329400.0</v>
      </c>
      <c r="O26" s="20" t="s">
        <v>31</v>
      </c>
      <c r="P26" s="20" t="s">
        <v>59</v>
      </c>
      <c r="Q26" s="10" t="s">
        <v>349</v>
      </c>
      <c r="R26" s="20" t="s">
        <v>350</v>
      </c>
      <c r="S26" s="20" t="s">
        <v>246</v>
      </c>
      <c r="W26" s="7"/>
    </row>
    <row r="27">
      <c r="A27" s="33" t="s">
        <v>352</v>
      </c>
      <c r="B27" s="20" t="s">
        <v>127</v>
      </c>
      <c r="C27" s="44"/>
      <c r="D27" s="44"/>
      <c r="E27" s="44"/>
      <c r="F27" s="30">
        <v>-0.43</v>
      </c>
      <c r="G27" s="44"/>
      <c r="H27" s="21" t="s">
        <v>354</v>
      </c>
      <c r="I27" s="7" t="s">
        <v>355</v>
      </c>
      <c r="J27" s="34" t="s">
        <v>356</v>
      </c>
      <c r="K27" s="20" t="s">
        <v>53</v>
      </c>
      <c r="L27" s="25">
        <v>2.7</v>
      </c>
      <c r="M27" s="14">
        <v>8.0</v>
      </c>
      <c r="N27" s="35">
        <v>11300.0</v>
      </c>
      <c r="O27" s="28"/>
      <c r="P27" s="20" t="s">
        <v>68</v>
      </c>
      <c r="Q27" s="10" t="s">
        <v>96</v>
      </c>
      <c r="S27" s="20" t="s">
        <v>358</v>
      </c>
    </row>
    <row r="28">
      <c r="A28" s="6" t="s">
        <v>157</v>
      </c>
      <c r="B28" s="7" t="s">
        <v>127</v>
      </c>
      <c r="C28" s="9"/>
      <c r="D28" s="9"/>
      <c r="E28" s="9"/>
      <c r="F28" s="22">
        <v>-0.19</v>
      </c>
      <c r="G28" s="9"/>
      <c r="H28" s="9" t="s">
        <v>161</v>
      </c>
      <c r="I28" s="7" t="s">
        <v>163</v>
      </c>
      <c r="J28" s="6" t="s">
        <v>165</v>
      </c>
      <c r="K28" s="10"/>
      <c r="L28" s="25">
        <v>3.8</v>
      </c>
      <c r="M28" s="14">
        <v>9706.0</v>
      </c>
      <c r="N28" s="19">
        <v>235300.0</v>
      </c>
      <c r="O28" s="28"/>
      <c r="P28" s="20" t="s">
        <v>37</v>
      </c>
      <c r="Q28" s="10" t="s">
        <v>120</v>
      </c>
      <c r="S28" s="20" t="s">
        <v>359</v>
      </c>
      <c r="W28" s="10"/>
    </row>
    <row r="29">
      <c r="A29" s="6" t="s">
        <v>110</v>
      </c>
      <c r="B29" s="7" t="s">
        <v>254</v>
      </c>
      <c r="C29" s="9" t="s">
        <v>360</v>
      </c>
      <c r="D29" s="8">
        <v>0.02</v>
      </c>
      <c r="E29" s="8"/>
      <c r="F29" s="22">
        <v>-0.08</v>
      </c>
      <c r="G29" s="9" t="s">
        <v>28</v>
      </c>
      <c r="H29" s="9" t="s">
        <v>117</v>
      </c>
      <c r="I29" s="10" t="s">
        <v>26</v>
      </c>
      <c r="J29" s="6" t="s">
        <v>119</v>
      </c>
      <c r="K29" s="10"/>
      <c r="L29" s="25">
        <v>4.5</v>
      </c>
      <c r="M29" s="18">
        <v>455.0</v>
      </c>
      <c r="N29" s="19">
        <v>27800.0</v>
      </c>
      <c r="O29" s="20" t="s">
        <v>31</v>
      </c>
      <c r="P29" s="20" t="s">
        <v>59</v>
      </c>
      <c r="Q29" s="10" t="s">
        <v>120</v>
      </c>
      <c r="R29" s="20" t="s">
        <v>361</v>
      </c>
      <c r="S29" s="20" t="s">
        <v>123</v>
      </c>
      <c r="W29" s="7"/>
    </row>
    <row r="30">
      <c r="A30" s="6" t="s">
        <v>143</v>
      </c>
      <c r="B30" s="10" t="s">
        <v>147</v>
      </c>
      <c r="C30" s="22">
        <v>0.0</v>
      </c>
      <c r="D30" s="8">
        <v>0.06</v>
      </c>
      <c r="E30" s="8"/>
      <c r="F30" s="13"/>
      <c r="G30" s="8" t="s">
        <v>48</v>
      </c>
      <c r="H30" s="8" t="s">
        <v>150</v>
      </c>
      <c r="I30" s="10" t="s">
        <v>26</v>
      </c>
      <c r="J30" s="6" t="s">
        <v>362</v>
      </c>
      <c r="K30" s="10"/>
      <c r="L30" s="25">
        <v>2.3</v>
      </c>
      <c r="M30" s="18">
        <v>446.0</v>
      </c>
      <c r="N30" s="19">
        <v>201900.0</v>
      </c>
      <c r="O30" s="20" t="s">
        <v>57</v>
      </c>
      <c r="P30" s="20" t="s">
        <v>142</v>
      </c>
      <c r="Q30" s="10" t="s">
        <v>120</v>
      </c>
      <c r="R30" s="20" t="s">
        <v>154</v>
      </c>
      <c r="S30" s="20" t="s">
        <v>156</v>
      </c>
      <c r="W30" s="7"/>
    </row>
    <row r="31">
      <c r="A31" s="33" t="s">
        <v>363</v>
      </c>
      <c r="B31" s="37" t="s">
        <v>43</v>
      </c>
      <c r="D31" s="45"/>
      <c r="E31" s="45"/>
      <c r="F31" s="46">
        <v>-0.12</v>
      </c>
      <c r="G31" s="42"/>
      <c r="H31" s="21" t="s">
        <v>150</v>
      </c>
      <c r="I31" s="20" t="s">
        <v>364</v>
      </c>
      <c r="K31" s="20" t="s">
        <v>216</v>
      </c>
      <c r="L31" s="28">
        <v>4.7</v>
      </c>
      <c r="M31" s="28">
        <v>662.0</v>
      </c>
      <c r="N31" s="35">
        <v>40800.0</v>
      </c>
      <c r="O31" s="20" t="s">
        <v>57</v>
      </c>
      <c r="P31" s="20" t="s">
        <v>260</v>
      </c>
      <c r="Q31" s="10" t="s">
        <v>96</v>
      </c>
      <c r="R31" s="20" t="s">
        <v>365</v>
      </c>
      <c r="S31" s="20" t="s">
        <v>366</v>
      </c>
    </row>
    <row r="32">
      <c r="A32" s="47" t="s">
        <v>367</v>
      </c>
      <c r="B32" s="48" t="s">
        <v>147</v>
      </c>
      <c r="C32" s="20" t="s">
        <v>368</v>
      </c>
      <c r="D32" s="49">
        <v>0.019</v>
      </c>
      <c r="E32" s="50"/>
      <c r="F32" s="51"/>
      <c r="G32" s="52" t="s">
        <v>369</v>
      </c>
      <c r="H32" s="51">
        <v>0.01</v>
      </c>
      <c r="I32" s="7" t="s">
        <v>370</v>
      </c>
      <c r="J32" s="47" t="s">
        <v>371</v>
      </c>
      <c r="K32" s="48" t="s">
        <v>372</v>
      </c>
      <c r="L32" s="25">
        <v>4.1</v>
      </c>
      <c r="M32" s="14">
        <v>34.0</v>
      </c>
      <c r="N32" s="53">
        <v>64700.0</v>
      </c>
      <c r="O32" s="48" t="s">
        <v>57</v>
      </c>
      <c r="P32" s="48" t="s">
        <v>142</v>
      </c>
      <c r="Q32" s="10" t="s">
        <v>96</v>
      </c>
      <c r="R32" s="48" t="s">
        <v>373</v>
      </c>
      <c r="S32" s="48" t="s">
        <v>374</v>
      </c>
      <c r="T32" s="54"/>
    </row>
    <row r="33">
      <c r="A33" s="6" t="s">
        <v>375</v>
      </c>
      <c r="B33" s="7" t="s">
        <v>140</v>
      </c>
      <c r="C33" s="9"/>
      <c r="D33" s="22">
        <v>0.05</v>
      </c>
      <c r="E33" s="3"/>
      <c r="F33" s="22">
        <v>-0.22</v>
      </c>
      <c r="G33" s="22">
        <v>0.0</v>
      </c>
      <c r="H33" s="3"/>
      <c r="I33" s="7" t="s">
        <v>376</v>
      </c>
      <c r="J33" s="55"/>
      <c r="K33" s="7" t="s">
        <v>53</v>
      </c>
      <c r="L33" s="25">
        <v>4.4</v>
      </c>
      <c r="M33" s="14">
        <v>47.0</v>
      </c>
      <c r="N33" s="19">
        <v>143.0</v>
      </c>
      <c r="O33" s="20" t="s">
        <v>57</v>
      </c>
      <c r="P33" s="20" t="s">
        <v>37</v>
      </c>
      <c r="Q33" s="10" t="s">
        <v>96</v>
      </c>
      <c r="R33" s="20" t="s">
        <v>377</v>
      </c>
      <c r="S33" s="20" t="s">
        <v>378</v>
      </c>
      <c r="W33" s="7"/>
    </row>
    <row r="34">
      <c r="A34" s="33" t="s">
        <v>379</v>
      </c>
      <c r="B34" s="37" t="s">
        <v>125</v>
      </c>
      <c r="D34" s="56">
        <v>0.015</v>
      </c>
      <c r="E34" s="45"/>
      <c r="F34" s="45"/>
      <c r="G34" s="30">
        <v>0.0</v>
      </c>
      <c r="H34" s="30">
        <v>0.0</v>
      </c>
      <c r="I34" s="20" t="s">
        <v>380</v>
      </c>
      <c r="J34" s="34" t="s">
        <v>381</v>
      </c>
      <c r="K34" s="20" t="s">
        <v>382</v>
      </c>
      <c r="L34" s="28">
        <v>4.4</v>
      </c>
      <c r="M34" s="28">
        <v>11.0</v>
      </c>
      <c r="N34" s="35">
        <v>1800.0</v>
      </c>
      <c r="O34" s="20" t="s">
        <v>142</v>
      </c>
      <c r="P34" s="20" t="s">
        <v>142</v>
      </c>
      <c r="Q34" s="10" t="s">
        <v>96</v>
      </c>
      <c r="R34" s="20" t="s">
        <v>383</v>
      </c>
      <c r="S34" s="20" t="s">
        <v>383</v>
      </c>
    </row>
    <row r="35">
      <c r="A35" s="6" t="s">
        <v>384</v>
      </c>
      <c r="B35" s="10" t="s">
        <v>147</v>
      </c>
      <c r="C35" s="22">
        <v>0.0</v>
      </c>
      <c r="D35" s="11" t="s">
        <v>385</v>
      </c>
      <c r="E35" s="11"/>
      <c r="F35" s="10"/>
      <c r="G35" s="9" t="s">
        <v>386</v>
      </c>
      <c r="H35" s="22">
        <v>0.03</v>
      </c>
      <c r="I35" s="10" t="s">
        <v>26</v>
      </c>
      <c r="J35" s="17" t="s">
        <v>387</v>
      </c>
      <c r="K35" s="10"/>
      <c r="L35" s="25">
        <v>4.4</v>
      </c>
      <c r="M35" s="14">
        <v>11.0</v>
      </c>
      <c r="N35" s="19">
        <v>593.0</v>
      </c>
      <c r="O35" s="20" t="s">
        <v>57</v>
      </c>
      <c r="P35" s="20" t="s">
        <v>59</v>
      </c>
      <c r="Q35" s="10" t="s">
        <v>96</v>
      </c>
      <c r="R35" s="20" t="s">
        <v>388</v>
      </c>
      <c r="S35" s="20" t="s">
        <v>390</v>
      </c>
      <c r="W35" s="10"/>
    </row>
    <row r="36">
      <c r="A36" s="6" t="s">
        <v>392</v>
      </c>
      <c r="B36" s="7" t="s">
        <v>23</v>
      </c>
      <c r="C36" s="22">
        <v>0.0</v>
      </c>
      <c r="D36" s="22">
        <v>0.03</v>
      </c>
      <c r="E36" s="22"/>
      <c r="F36" s="10"/>
      <c r="G36" s="9" t="s">
        <v>48</v>
      </c>
      <c r="H36" s="9" t="s">
        <v>402</v>
      </c>
      <c r="I36" s="10" t="s">
        <v>26</v>
      </c>
      <c r="J36" s="17" t="s">
        <v>403</v>
      </c>
      <c r="K36" s="10"/>
      <c r="L36" s="25">
        <v>3.9</v>
      </c>
      <c r="M36" s="14">
        <v>270.0</v>
      </c>
      <c r="N36" s="19">
        <v>65600.0</v>
      </c>
      <c r="O36" s="20" t="s">
        <v>57</v>
      </c>
      <c r="P36" s="28"/>
      <c r="Q36" s="10" t="s">
        <v>96</v>
      </c>
      <c r="R36" s="20" t="s">
        <v>408</v>
      </c>
      <c r="S36" s="20" t="s">
        <v>409</v>
      </c>
      <c r="W36" s="10"/>
    </row>
    <row r="37">
      <c r="A37" s="6" t="s">
        <v>411</v>
      </c>
      <c r="B37" s="7" t="s">
        <v>162</v>
      </c>
      <c r="C37" s="21" t="s">
        <v>419</v>
      </c>
      <c r="D37" s="9" t="s">
        <v>420</v>
      </c>
      <c r="E37" s="9" t="s">
        <v>421</v>
      </c>
      <c r="F37" s="9"/>
      <c r="G37" s="9" t="s">
        <v>230</v>
      </c>
      <c r="H37" s="9" t="s">
        <v>230</v>
      </c>
      <c r="I37" s="10" t="s">
        <v>62</v>
      </c>
      <c r="J37" s="10"/>
      <c r="K37" s="10"/>
      <c r="L37" s="26">
        <v>4.5</v>
      </c>
      <c r="M37" s="19">
        <v>2435.0</v>
      </c>
      <c r="N37" s="15">
        <v>1700000.0</v>
      </c>
      <c r="O37" s="20" t="s">
        <v>57</v>
      </c>
      <c r="P37" s="20" t="s">
        <v>142</v>
      </c>
      <c r="Q37" s="10" t="s">
        <v>96</v>
      </c>
      <c r="R37" s="20" t="s">
        <v>429</v>
      </c>
      <c r="W37" s="7"/>
    </row>
    <row r="38">
      <c r="A38" s="6" t="s">
        <v>430</v>
      </c>
      <c r="B38" s="10" t="s">
        <v>147</v>
      </c>
      <c r="C38" s="11" t="s">
        <v>435</v>
      </c>
      <c r="D38" s="8">
        <v>0.05</v>
      </c>
      <c r="E38" s="8"/>
      <c r="F38" s="13"/>
      <c r="G38" s="9" t="s">
        <v>436</v>
      </c>
      <c r="H38" s="9" t="s">
        <v>437</v>
      </c>
      <c r="I38" s="10" t="s">
        <v>26</v>
      </c>
      <c r="J38" s="10"/>
      <c r="K38" s="10"/>
      <c r="L38" s="26">
        <v>4.4</v>
      </c>
      <c r="M38" s="14">
        <v>3507.0</v>
      </c>
      <c r="N38" s="15">
        <v>4100000.0</v>
      </c>
      <c r="O38" s="20" t="s">
        <v>57</v>
      </c>
      <c r="P38" s="20" t="s">
        <v>37</v>
      </c>
      <c r="Q38" s="10" t="s">
        <v>96</v>
      </c>
      <c r="R38" s="20" t="s">
        <v>444</v>
      </c>
      <c r="S38" s="20" t="s">
        <v>446</v>
      </c>
      <c r="W38" s="7"/>
    </row>
    <row r="39">
      <c r="A39" s="6" t="s">
        <v>284</v>
      </c>
      <c r="B39" s="7" t="s">
        <v>43</v>
      </c>
      <c r="C39" s="9" t="s">
        <v>452</v>
      </c>
      <c r="D39" s="3"/>
      <c r="E39" s="3"/>
      <c r="F39" s="22">
        <v>-0.06</v>
      </c>
      <c r="G39" s="9" t="s">
        <v>293</v>
      </c>
      <c r="H39" s="9" t="s">
        <v>294</v>
      </c>
      <c r="I39" s="10" t="s">
        <v>26</v>
      </c>
      <c r="J39" s="10"/>
      <c r="K39" s="10"/>
      <c r="L39" s="25">
        <v>4.7</v>
      </c>
      <c r="M39" s="14">
        <v>4015.0</v>
      </c>
      <c r="N39" s="19">
        <v>1100000.0</v>
      </c>
      <c r="O39" s="20" t="s">
        <v>31</v>
      </c>
      <c r="P39" s="20" t="s">
        <v>59</v>
      </c>
      <c r="Q39" s="10" t="s">
        <v>158</v>
      </c>
      <c r="R39" s="20" t="s">
        <v>297</v>
      </c>
      <c r="S39" s="20" t="s">
        <v>298</v>
      </c>
      <c r="W39" s="7"/>
    </row>
    <row r="40">
      <c r="A40" s="6" t="s">
        <v>299</v>
      </c>
      <c r="B40" s="10" t="s">
        <v>147</v>
      </c>
      <c r="C40" s="8">
        <v>0.0</v>
      </c>
      <c r="D40" s="29">
        <v>0.025</v>
      </c>
      <c r="E40" s="29"/>
      <c r="F40" s="40"/>
      <c r="G40" s="9" t="s">
        <v>132</v>
      </c>
      <c r="H40" s="29"/>
      <c r="I40" s="10" t="s">
        <v>26</v>
      </c>
      <c r="L40" s="25">
        <v>2.6</v>
      </c>
      <c r="M40" s="18">
        <v>95.0</v>
      </c>
      <c r="N40" s="15">
        <v>2300000.0</v>
      </c>
      <c r="O40" s="20" t="s">
        <v>180</v>
      </c>
      <c r="P40" s="28"/>
      <c r="Q40" s="10" t="s">
        <v>261</v>
      </c>
      <c r="R40" s="20" t="s">
        <v>462</v>
      </c>
      <c r="W40" s="7"/>
    </row>
    <row r="41">
      <c r="A41" s="6" t="s">
        <v>247</v>
      </c>
      <c r="B41" s="7" t="s">
        <v>162</v>
      </c>
      <c r="C41" s="21" t="s">
        <v>465</v>
      </c>
      <c r="D41" s="9" t="s">
        <v>466</v>
      </c>
      <c r="E41" s="9" t="s">
        <v>311</v>
      </c>
      <c r="F41" s="9"/>
      <c r="G41" s="22">
        <v>0.0</v>
      </c>
      <c r="H41" s="11"/>
      <c r="I41" s="10" t="s">
        <v>26</v>
      </c>
      <c r="J41" s="10"/>
      <c r="K41" s="10"/>
      <c r="L41" s="25">
        <v>4.6</v>
      </c>
      <c r="M41" s="14">
        <v>1379.0</v>
      </c>
      <c r="N41" s="19">
        <v>209600.0</v>
      </c>
      <c r="O41" s="20" t="s">
        <v>57</v>
      </c>
      <c r="P41" s="28"/>
      <c r="Q41" s="10" t="s">
        <v>120</v>
      </c>
      <c r="R41" s="20" t="s">
        <v>469</v>
      </c>
      <c r="W41" s="7"/>
    </row>
    <row r="42">
      <c r="A42" s="6" t="s">
        <v>471</v>
      </c>
      <c r="B42" s="7" t="s">
        <v>43</v>
      </c>
      <c r="C42" s="9" t="s">
        <v>475</v>
      </c>
      <c r="D42" s="3"/>
      <c r="E42" s="3"/>
      <c r="F42" s="22">
        <v>-0.04</v>
      </c>
      <c r="G42" s="9" t="s">
        <v>478</v>
      </c>
      <c r="H42" s="9" t="s">
        <v>479</v>
      </c>
      <c r="I42" s="10" t="s">
        <v>26</v>
      </c>
      <c r="J42" s="10"/>
      <c r="K42" s="10"/>
      <c r="L42" s="25">
        <v>3.3</v>
      </c>
      <c r="M42" s="14">
        <v>89.0</v>
      </c>
      <c r="N42" s="19">
        <v>189400.0</v>
      </c>
      <c r="O42" s="20" t="s">
        <v>68</v>
      </c>
      <c r="P42" s="20" t="s">
        <v>142</v>
      </c>
      <c r="Q42" s="10" t="s">
        <v>96</v>
      </c>
      <c r="R42" s="20" t="s">
        <v>482</v>
      </c>
      <c r="S42" s="20" t="s">
        <v>483</v>
      </c>
      <c r="W42" s="7"/>
    </row>
    <row r="43">
      <c r="A43" s="33" t="s">
        <v>487</v>
      </c>
      <c r="B43" s="20" t="s">
        <v>127</v>
      </c>
      <c r="F43" s="30">
        <v>-0.21</v>
      </c>
      <c r="G43" s="42"/>
      <c r="H43" s="21" t="s">
        <v>496</v>
      </c>
      <c r="I43" s="10" t="s">
        <v>26</v>
      </c>
      <c r="J43" s="34" t="s">
        <v>499</v>
      </c>
      <c r="L43" s="25">
        <v>4.7</v>
      </c>
      <c r="M43" s="14">
        <v>9481.0</v>
      </c>
      <c r="N43" s="35">
        <v>7100.0</v>
      </c>
      <c r="O43" s="28"/>
      <c r="P43" s="20" t="s">
        <v>142</v>
      </c>
      <c r="Q43" s="10" t="s">
        <v>96</v>
      </c>
      <c r="S43" s="20" t="s">
        <v>501</v>
      </c>
    </row>
    <row r="44">
      <c r="A44" s="33" t="s">
        <v>502</v>
      </c>
      <c r="B44" s="37" t="s">
        <v>201</v>
      </c>
      <c r="C44" s="30">
        <v>0.0</v>
      </c>
      <c r="D44" s="30">
        <v>0.0</v>
      </c>
      <c r="E44" s="45"/>
      <c r="F44" s="30">
        <v>-0.05</v>
      </c>
      <c r="G44" s="21" t="s">
        <v>509</v>
      </c>
      <c r="H44" s="30">
        <v>0.0</v>
      </c>
      <c r="I44" s="10" t="s">
        <v>26</v>
      </c>
      <c r="L44" s="38">
        <v>3.9</v>
      </c>
      <c r="M44" s="43">
        <v>123.0</v>
      </c>
      <c r="N44" s="35">
        <v>106800.0</v>
      </c>
      <c r="O44" s="20" t="s">
        <v>31</v>
      </c>
      <c r="P44" s="20" t="s">
        <v>59</v>
      </c>
      <c r="Q44" s="10" t="s">
        <v>96</v>
      </c>
      <c r="R44" s="20" t="s">
        <v>515</v>
      </c>
      <c r="S44" s="20" t="s">
        <v>516</v>
      </c>
    </row>
    <row r="45">
      <c r="A45" s="34" t="s">
        <v>517</v>
      </c>
      <c r="B45" s="20" t="s">
        <v>147</v>
      </c>
      <c r="C45" s="30">
        <v>0.0</v>
      </c>
      <c r="D45" s="30">
        <v>0.02</v>
      </c>
      <c r="E45" s="45"/>
      <c r="F45" s="45"/>
      <c r="G45" s="21" t="s">
        <v>526</v>
      </c>
      <c r="H45" s="21" t="s">
        <v>527</v>
      </c>
      <c r="I45" s="10" t="s">
        <v>26</v>
      </c>
      <c r="L45" s="38">
        <v>4.2</v>
      </c>
      <c r="M45" s="43">
        <v>155.0</v>
      </c>
      <c r="N45" s="35">
        <v>125400.0</v>
      </c>
      <c r="O45" s="20" t="s">
        <v>57</v>
      </c>
      <c r="P45" s="20" t="s">
        <v>37</v>
      </c>
      <c r="Q45" s="10" t="s">
        <v>96</v>
      </c>
      <c r="R45" s="20" t="s">
        <v>533</v>
      </c>
      <c r="S45" s="20" t="s">
        <v>534</v>
      </c>
    </row>
    <row r="46">
      <c r="A46" s="33" t="s">
        <v>536</v>
      </c>
      <c r="B46" s="20" t="s">
        <v>147</v>
      </c>
      <c r="C46" s="30">
        <v>0.0</v>
      </c>
      <c r="D46" s="60">
        <v>0.015</v>
      </c>
      <c r="E46" s="42"/>
      <c r="G46" s="21" t="s">
        <v>48</v>
      </c>
      <c r="H46" s="30">
        <v>0.0</v>
      </c>
      <c r="I46" s="20" t="s">
        <v>543</v>
      </c>
      <c r="J46" s="33" t="s">
        <v>544</v>
      </c>
      <c r="K46" s="20" t="s">
        <v>53</v>
      </c>
      <c r="L46" s="38">
        <v>3.6</v>
      </c>
      <c r="M46" s="43">
        <v>13.0</v>
      </c>
      <c r="N46" s="35">
        <v>5000.0</v>
      </c>
      <c r="O46" s="20" t="s">
        <v>57</v>
      </c>
      <c r="P46" s="20" t="s">
        <v>142</v>
      </c>
      <c r="Q46" s="10" t="s">
        <v>96</v>
      </c>
      <c r="R46" s="20" t="s">
        <v>546</v>
      </c>
      <c r="S46" s="20" t="s">
        <v>548</v>
      </c>
    </row>
    <row r="47">
      <c r="A47" s="33" t="s">
        <v>345</v>
      </c>
      <c r="B47" s="20" t="s">
        <v>127</v>
      </c>
      <c r="D47" s="9"/>
      <c r="E47" s="9"/>
      <c r="F47" s="22">
        <v>-0.07</v>
      </c>
      <c r="G47" s="42"/>
      <c r="H47" s="21" t="s">
        <v>48</v>
      </c>
      <c r="I47" s="20" t="s">
        <v>91</v>
      </c>
      <c r="J47" s="34" t="s">
        <v>351</v>
      </c>
      <c r="K47" s="20" t="s">
        <v>53</v>
      </c>
      <c r="L47" s="38">
        <v>4.4</v>
      </c>
      <c r="M47" s="43">
        <v>18.0</v>
      </c>
      <c r="N47" s="20">
        <v>60.0</v>
      </c>
      <c r="P47" s="20" t="s">
        <v>260</v>
      </c>
      <c r="Q47" s="20" t="s">
        <v>195</v>
      </c>
      <c r="S47" s="20" t="s">
        <v>353</v>
      </c>
    </row>
    <row r="48">
      <c r="A48" s="33" t="s">
        <v>556</v>
      </c>
      <c r="B48" s="20" t="s">
        <v>127</v>
      </c>
      <c r="D48" s="42"/>
      <c r="E48" s="42"/>
      <c r="F48" s="30">
        <v>-0.16</v>
      </c>
      <c r="G48" s="42"/>
      <c r="H48" s="30">
        <v>0.0</v>
      </c>
      <c r="I48" s="20" t="s">
        <v>561</v>
      </c>
      <c r="J48" s="33" t="s">
        <v>562</v>
      </c>
      <c r="K48" s="20" t="s">
        <v>53</v>
      </c>
      <c r="L48" s="61">
        <v>4.0</v>
      </c>
      <c r="M48" s="20">
        <v>4.0</v>
      </c>
      <c r="N48" s="20">
        <v>10.0</v>
      </c>
      <c r="P48" s="20" t="s">
        <v>37</v>
      </c>
      <c r="Q48" s="10" t="s">
        <v>96</v>
      </c>
      <c r="S48" s="20" t="s">
        <v>564</v>
      </c>
    </row>
    <row r="49">
      <c r="A49" s="33" t="s">
        <v>566</v>
      </c>
      <c r="B49" s="20" t="s">
        <v>43</v>
      </c>
      <c r="C49" s="21" t="s">
        <v>253</v>
      </c>
      <c r="D49" s="42"/>
      <c r="E49" s="42"/>
      <c r="F49" s="30">
        <v>-0.07</v>
      </c>
      <c r="G49" s="21" t="s">
        <v>48</v>
      </c>
      <c r="H49" s="21" t="s">
        <v>571</v>
      </c>
      <c r="I49" s="20" t="s">
        <v>573</v>
      </c>
      <c r="J49" s="33" t="s">
        <v>574</v>
      </c>
      <c r="K49" s="20" t="s">
        <v>53</v>
      </c>
      <c r="L49" s="61">
        <v>4.0</v>
      </c>
      <c r="M49" s="20">
        <v>9.0</v>
      </c>
      <c r="N49" s="35">
        <v>45500.0</v>
      </c>
      <c r="O49" s="20" t="s">
        <v>57</v>
      </c>
      <c r="P49" s="20" t="s">
        <v>37</v>
      </c>
      <c r="Q49" s="10" t="s">
        <v>96</v>
      </c>
      <c r="R49" s="20" t="s">
        <v>576</v>
      </c>
      <c r="S49" s="20" t="s">
        <v>577</v>
      </c>
    </row>
    <row r="50">
      <c r="D50" s="42"/>
      <c r="E50" s="42"/>
      <c r="G50" s="42"/>
      <c r="H50" s="42"/>
      <c r="O50" s="20" t="s">
        <v>327</v>
      </c>
    </row>
    <row r="51">
      <c r="D51" s="42"/>
      <c r="E51" s="42"/>
      <c r="G51" s="42"/>
      <c r="H51" s="42"/>
    </row>
    <row r="52">
      <c r="C52" s="42"/>
      <c r="D52" s="42"/>
      <c r="E52" s="42"/>
      <c r="G52" s="42"/>
      <c r="H52" s="42"/>
    </row>
    <row r="53">
      <c r="A53" s="55"/>
      <c r="B53" s="7"/>
      <c r="C53" s="29"/>
      <c r="D53" s="8"/>
      <c r="E53" s="8"/>
      <c r="F53" s="13"/>
      <c r="G53" s="8"/>
      <c r="H53" s="8"/>
      <c r="I53" s="10"/>
      <c r="J53" s="34" t="s">
        <v>582</v>
      </c>
      <c r="K53" s="10"/>
      <c r="L53" s="12"/>
      <c r="M53" s="12"/>
      <c r="N53" s="19"/>
      <c r="Q53" s="10"/>
      <c r="R53" s="10"/>
    </row>
    <row r="54">
      <c r="C54" s="42"/>
      <c r="D54" s="42"/>
      <c r="E54" s="42"/>
      <c r="G54" s="42"/>
      <c r="H54" s="42"/>
      <c r="J54" s="20" t="s">
        <v>334</v>
      </c>
    </row>
    <row r="55">
      <c r="A55" s="24"/>
      <c r="B55" s="7"/>
      <c r="C55" s="9"/>
      <c r="E55" s="9"/>
      <c r="F55" s="9"/>
      <c r="G55" s="9"/>
      <c r="H55" s="9"/>
      <c r="I55" s="10"/>
      <c r="J55" s="10"/>
      <c r="K55" s="10"/>
      <c r="L55" s="58"/>
      <c r="M55" s="12"/>
      <c r="N55" s="19"/>
      <c r="Q55" s="10"/>
      <c r="R55" s="7"/>
    </row>
    <row r="56">
      <c r="C56" s="42"/>
      <c r="D56" s="42"/>
      <c r="E56" s="42"/>
      <c r="G56" s="42"/>
      <c r="H56" s="42"/>
    </row>
    <row r="57">
      <c r="C57" s="42"/>
      <c r="D57" s="42"/>
      <c r="E57" s="42"/>
      <c r="G57" s="42"/>
      <c r="H57" s="42"/>
    </row>
    <row r="58">
      <c r="C58" s="42"/>
      <c r="D58" s="42"/>
      <c r="E58" s="42"/>
      <c r="G58" s="42"/>
      <c r="H58" s="42"/>
    </row>
    <row r="59">
      <c r="A59" s="24"/>
      <c r="B59" s="7"/>
      <c r="C59" s="8"/>
      <c r="D59" s="42"/>
      <c r="E59" s="42"/>
      <c r="G59" s="42"/>
      <c r="H59" s="42"/>
    </row>
    <row r="60">
      <c r="C60" s="42"/>
      <c r="D60" s="42"/>
      <c r="E60" s="42"/>
      <c r="G60" s="42"/>
      <c r="H60" s="42"/>
    </row>
    <row r="61">
      <c r="C61" s="42"/>
      <c r="D61" s="42"/>
      <c r="E61" s="42"/>
      <c r="G61" s="42"/>
      <c r="H61" s="42"/>
    </row>
    <row r="62">
      <c r="C62" s="42"/>
      <c r="D62" s="42"/>
      <c r="E62" s="42"/>
      <c r="G62" s="42"/>
      <c r="H62" s="42"/>
    </row>
    <row r="63">
      <c r="C63" s="42"/>
      <c r="D63" s="42"/>
      <c r="E63" s="42"/>
      <c r="G63" s="42"/>
      <c r="H63" s="42"/>
    </row>
    <row r="64">
      <c r="C64" s="42"/>
      <c r="D64" s="42"/>
      <c r="E64" s="42"/>
      <c r="G64" s="42"/>
      <c r="H64" s="42"/>
    </row>
    <row r="65">
      <c r="C65" s="42"/>
      <c r="D65" s="42"/>
      <c r="E65" s="42"/>
      <c r="G65" s="42"/>
      <c r="H65" s="42"/>
    </row>
    <row r="66">
      <c r="C66" s="42"/>
      <c r="D66" s="42"/>
      <c r="E66" s="42"/>
      <c r="G66" s="42"/>
      <c r="H66" s="42"/>
    </row>
    <row r="67">
      <c r="C67" s="42"/>
      <c r="D67" s="42"/>
      <c r="E67" s="42"/>
      <c r="G67" s="42"/>
      <c r="H67" s="42"/>
    </row>
    <row r="68">
      <c r="C68" s="42"/>
      <c r="D68" s="42"/>
      <c r="E68" s="42"/>
      <c r="G68" s="42"/>
      <c r="H68" s="42"/>
    </row>
    <row r="69">
      <c r="C69" s="42"/>
      <c r="D69" s="42"/>
      <c r="E69" s="42"/>
      <c r="G69" s="42"/>
      <c r="H69" s="42"/>
    </row>
    <row r="70">
      <c r="C70" s="42"/>
      <c r="D70" s="42"/>
      <c r="E70" s="42"/>
      <c r="G70" s="42"/>
      <c r="H70" s="42"/>
    </row>
    <row r="71">
      <c r="C71" s="42"/>
      <c r="D71" s="42"/>
      <c r="E71" s="42"/>
      <c r="G71" s="42"/>
      <c r="H71" s="42"/>
    </row>
    <row r="72">
      <c r="C72" s="42"/>
      <c r="D72" s="42"/>
      <c r="E72" s="42"/>
      <c r="G72" s="42"/>
      <c r="H72" s="42"/>
    </row>
    <row r="73">
      <c r="C73" s="42"/>
      <c r="D73" s="42"/>
      <c r="E73" s="42"/>
      <c r="G73" s="42"/>
      <c r="H73" s="42"/>
    </row>
    <row r="74">
      <c r="C74" s="42"/>
      <c r="D74" s="42"/>
      <c r="E74" s="42"/>
      <c r="G74" s="42"/>
      <c r="H74" s="42"/>
    </row>
    <row r="75">
      <c r="C75" s="42"/>
      <c r="D75" s="42"/>
      <c r="E75" s="42"/>
      <c r="G75" s="42"/>
      <c r="H75" s="42"/>
    </row>
    <row r="76">
      <c r="C76" s="42"/>
      <c r="D76" s="42"/>
      <c r="E76" s="42"/>
      <c r="G76" s="42"/>
      <c r="H76" s="42"/>
    </row>
    <row r="77">
      <c r="C77" s="42"/>
      <c r="D77" s="42"/>
      <c r="E77" s="42"/>
      <c r="G77" s="42"/>
      <c r="H77" s="42"/>
    </row>
    <row r="78">
      <c r="C78" s="42"/>
      <c r="D78" s="42"/>
      <c r="E78" s="42"/>
      <c r="G78" s="42"/>
      <c r="H78" s="42"/>
    </row>
    <row r="79">
      <c r="C79" s="42"/>
      <c r="D79" s="42"/>
      <c r="E79" s="42"/>
      <c r="G79" s="42"/>
      <c r="H79" s="42"/>
    </row>
    <row r="80">
      <c r="C80" s="42"/>
      <c r="D80" s="42"/>
      <c r="E80" s="42"/>
      <c r="G80" s="42"/>
      <c r="H80" s="42"/>
    </row>
    <row r="81">
      <c r="C81" s="42"/>
      <c r="D81" s="42"/>
      <c r="E81" s="42"/>
      <c r="G81" s="42"/>
      <c r="H81" s="42"/>
    </row>
    <row r="82">
      <c r="C82" s="42"/>
      <c r="D82" s="42"/>
      <c r="E82" s="42"/>
      <c r="G82" s="42"/>
      <c r="H82" s="42"/>
    </row>
    <row r="83">
      <c r="C83" s="42"/>
      <c r="D83" s="42"/>
      <c r="E83" s="42"/>
      <c r="G83" s="42"/>
      <c r="H83" s="42"/>
    </row>
    <row r="84">
      <c r="C84" s="42"/>
      <c r="D84" s="42"/>
      <c r="E84" s="42"/>
      <c r="G84" s="42"/>
      <c r="H84" s="42"/>
    </row>
    <row r="85">
      <c r="C85" s="42"/>
      <c r="D85" s="42"/>
      <c r="E85" s="42"/>
      <c r="G85" s="42"/>
      <c r="H85" s="42"/>
    </row>
    <row r="86">
      <c r="C86" s="42"/>
      <c r="D86" s="42"/>
      <c r="E86" s="42"/>
      <c r="G86" s="42"/>
      <c r="H86" s="42"/>
    </row>
    <row r="87">
      <c r="C87" s="42"/>
      <c r="D87" s="42"/>
      <c r="E87" s="42"/>
      <c r="G87" s="42"/>
      <c r="H87" s="42"/>
    </row>
    <row r="88">
      <c r="C88" s="42"/>
      <c r="D88" s="42"/>
      <c r="E88" s="42"/>
      <c r="G88" s="42"/>
      <c r="H88" s="42"/>
    </row>
    <row r="89">
      <c r="C89" s="42"/>
      <c r="D89" s="42"/>
      <c r="E89" s="42"/>
      <c r="G89" s="42"/>
      <c r="H89" s="42"/>
    </row>
    <row r="90">
      <c r="C90" s="42"/>
      <c r="D90" s="42"/>
      <c r="E90" s="42"/>
      <c r="G90" s="42"/>
      <c r="H90" s="42"/>
    </row>
    <row r="91">
      <c r="C91" s="42"/>
      <c r="D91" s="42"/>
      <c r="E91" s="42"/>
      <c r="G91" s="42"/>
      <c r="H91" s="42"/>
    </row>
    <row r="92">
      <c r="C92" s="42"/>
      <c r="D92" s="42"/>
      <c r="E92" s="42"/>
      <c r="G92" s="42"/>
      <c r="H92" s="42"/>
    </row>
    <row r="93">
      <c r="C93" s="42"/>
      <c r="D93" s="42"/>
      <c r="E93" s="42"/>
      <c r="G93" s="42"/>
      <c r="H93" s="42"/>
    </row>
    <row r="94">
      <c r="C94" s="42"/>
      <c r="D94" s="42"/>
      <c r="E94" s="42"/>
      <c r="G94" s="42"/>
      <c r="H94" s="42"/>
    </row>
    <row r="95">
      <c r="C95" s="42"/>
      <c r="D95" s="42"/>
      <c r="E95" s="42"/>
      <c r="G95" s="42"/>
      <c r="H95" s="42"/>
    </row>
    <row r="96">
      <c r="C96" s="42"/>
      <c r="D96" s="42"/>
      <c r="E96" s="42"/>
      <c r="G96" s="42"/>
      <c r="H96" s="42"/>
    </row>
    <row r="97">
      <c r="C97" s="42"/>
      <c r="D97" s="42"/>
      <c r="E97" s="42"/>
      <c r="G97" s="42"/>
      <c r="H97" s="42"/>
    </row>
    <row r="98">
      <c r="C98" s="42"/>
      <c r="D98" s="42"/>
      <c r="E98" s="42"/>
      <c r="G98" s="42"/>
      <c r="H98" s="42"/>
    </row>
    <row r="99">
      <c r="C99" s="42"/>
      <c r="D99" s="42"/>
      <c r="E99" s="42"/>
      <c r="G99" s="42"/>
      <c r="H99" s="42"/>
    </row>
    <row r="100">
      <c r="C100" s="42"/>
      <c r="D100" s="42"/>
      <c r="E100" s="42"/>
      <c r="G100" s="42"/>
      <c r="H100" s="42"/>
    </row>
    <row r="101">
      <c r="C101" s="42"/>
      <c r="D101" s="42"/>
      <c r="E101" s="42"/>
      <c r="G101" s="42"/>
      <c r="H101" s="42"/>
    </row>
    <row r="102">
      <c r="C102" s="42"/>
      <c r="D102" s="42"/>
      <c r="E102" s="42"/>
      <c r="G102" s="42"/>
      <c r="H102" s="42"/>
    </row>
    <row r="103">
      <c r="C103" s="42"/>
      <c r="D103" s="42"/>
      <c r="E103" s="42"/>
      <c r="G103" s="42"/>
      <c r="H103" s="42"/>
    </row>
    <row r="104">
      <c r="C104" s="42"/>
      <c r="D104" s="42"/>
      <c r="E104" s="42"/>
      <c r="G104" s="42"/>
      <c r="H104" s="42"/>
    </row>
    <row r="105">
      <c r="C105" s="42"/>
      <c r="D105" s="42"/>
      <c r="E105" s="42"/>
      <c r="G105" s="42"/>
      <c r="H105" s="42"/>
    </row>
    <row r="106">
      <c r="C106" s="42"/>
      <c r="D106" s="42"/>
      <c r="E106" s="42"/>
      <c r="G106" s="42"/>
      <c r="H106" s="42"/>
    </row>
    <row r="107">
      <c r="C107" s="42"/>
      <c r="D107" s="42"/>
      <c r="E107" s="42"/>
      <c r="G107" s="42"/>
      <c r="H107" s="42"/>
    </row>
    <row r="108">
      <c r="C108" s="42"/>
      <c r="D108" s="42"/>
      <c r="E108" s="42"/>
      <c r="G108" s="42"/>
      <c r="H108" s="42"/>
    </row>
    <row r="109">
      <c r="C109" s="42"/>
      <c r="D109" s="42"/>
      <c r="E109" s="42"/>
      <c r="G109" s="42"/>
      <c r="H109" s="42"/>
    </row>
    <row r="110">
      <c r="C110" s="42"/>
      <c r="D110" s="42"/>
      <c r="E110" s="42"/>
      <c r="G110" s="42"/>
      <c r="H110" s="42"/>
    </row>
    <row r="111">
      <c r="C111" s="42"/>
      <c r="D111" s="42"/>
      <c r="E111" s="42"/>
      <c r="G111" s="42"/>
      <c r="H111" s="42"/>
    </row>
    <row r="112">
      <c r="C112" s="42"/>
      <c r="D112" s="42"/>
      <c r="E112" s="42"/>
      <c r="G112" s="42"/>
      <c r="H112" s="42"/>
    </row>
    <row r="113">
      <c r="C113" s="42"/>
      <c r="D113" s="42"/>
      <c r="E113" s="42"/>
      <c r="G113" s="42"/>
      <c r="H113" s="42"/>
    </row>
    <row r="114">
      <c r="C114" s="42"/>
      <c r="D114" s="42"/>
      <c r="E114" s="42"/>
      <c r="G114" s="42"/>
      <c r="H114" s="42"/>
    </row>
    <row r="115">
      <c r="C115" s="42"/>
      <c r="D115" s="42"/>
      <c r="E115" s="42"/>
      <c r="G115" s="42"/>
      <c r="H115" s="42"/>
    </row>
    <row r="116">
      <c r="C116" s="42"/>
      <c r="D116" s="42"/>
      <c r="E116" s="42"/>
      <c r="G116" s="42"/>
      <c r="H116" s="42"/>
    </row>
    <row r="117">
      <c r="C117" s="42"/>
      <c r="D117" s="42"/>
      <c r="E117" s="42"/>
      <c r="G117" s="42"/>
      <c r="H117" s="42"/>
    </row>
    <row r="118">
      <c r="C118" s="42"/>
      <c r="D118" s="42"/>
      <c r="E118" s="42"/>
      <c r="G118" s="42"/>
      <c r="H118" s="42"/>
    </row>
    <row r="119">
      <c r="C119" s="42"/>
      <c r="D119" s="42"/>
      <c r="E119" s="42"/>
      <c r="G119" s="42"/>
      <c r="H119" s="42"/>
    </row>
    <row r="120">
      <c r="C120" s="42"/>
      <c r="D120" s="42"/>
      <c r="E120" s="42"/>
      <c r="G120" s="42"/>
      <c r="H120" s="42"/>
    </row>
    <row r="121">
      <c r="C121" s="42"/>
      <c r="D121" s="42"/>
      <c r="E121" s="42"/>
      <c r="G121" s="42"/>
      <c r="H121" s="42"/>
    </row>
    <row r="122">
      <c r="C122" s="42"/>
      <c r="D122" s="42"/>
      <c r="E122" s="42"/>
      <c r="G122" s="42"/>
      <c r="H122" s="42"/>
    </row>
    <row r="123">
      <c r="C123" s="42"/>
      <c r="D123" s="42"/>
      <c r="E123" s="42"/>
      <c r="G123" s="42"/>
      <c r="H123" s="42"/>
    </row>
    <row r="124">
      <c r="C124" s="42"/>
      <c r="D124" s="42"/>
      <c r="E124" s="42"/>
      <c r="G124" s="42"/>
      <c r="H124" s="42"/>
    </row>
    <row r="125">
      <c r="C125" s="42"/>
      <c r="D125" s="42"/>
      <c r="E125" s="42"/>
      <c r="G125" s="42"/>
      <c r="H125" s="42"/>
    </row>
    <row r="126">
      <c r="C126" s="42"/>
      <c r="D126" s="42"/>
      <c r="E126" s="42"/>
      <c r="G126" s="42"/>
      <c r="H126" s="42"/>
    </row>
    <row r="127">
      <c r="C127" s="42"/>
      <c r="D127" s="42"/>
      <c r="E127" s="42"/>
      <c r="G127" s="42"/>
      <c r="H127" s="42"/>
    </row>
    <row r="128">
      <c r="C128" s="42"/>
      <c r="D128" s="42"/>
      <c r="E128" s="42"/>
      <c r="G128" s="42"/>
      <c r="H128" s="42"/>
    </row>
    <row r="129">
      <c r="C129" s="42"/>
      <c r="D129" s="42"/>
      <c r="E129" s="42"/>
      <c r="G129" s="42"/>
      <c r="H129" s="42"/>
    </row>
    <row r="130">
      <c r="C130" s="42"/>
      <c r="D130" s="42"/>
      <c r="E130" s="42"/>
      <c r="G130" s="42"/>
      <c r="H130" s="42"/>
    </row>
    <row r="131">
      <c r="C131" s="42"/>
      <c r="D131" s="42"/>
      <c r="E131" s="42"/>
      <c r="G131" s="42"/>
      <c r="H131" s="42"/>
    </row>
    <row r="132">
      <c r="C132" s="42"/>
      <c r="D132" s="42"/>
      <c r="E132" s="42"/>
      <c r="G132" s="42"/>
      <c r="H132" s="42"/>
    </row>
    <row r="133">
      <c r="C133" s="42"/>
      <c r="D133" s="42"/>
      <c r="E133" s="42"/>
      <c r="G133" s="42"/>
      <c r="H133" s="42"/>
    </row>
    <row r="134">
      <c r="C134" s="42"/>
      <c r="D134" s="42"/>
      <c r="E134" s="42"/>
      <c r="G134" s="42"/>
      <c r="H134" s="42"/>
    </row>
    <row r="135">
      <c r="C135" s="42"/>
      <c r="D135" s="42"/>
      <c r="E135" s="42"/>
      <c r="G135" s="42"/>
      <c r="H135" s="42"/>
    </row>
    <row r="136">
      <c r="C136" s="42"/>
      <c r="D136" s="42"/>
      <c r="E136" s="42"/>
      <c r="G136" s="42"/>
      <c r="H136" s="42"/>
    </row>
    <row r="137">
      <c r="C137" s="42"/>
      <c r="D137" s="42"/>
      <c r="E137" s="42"/>
      <c r="G137" s="42"/>
      <c r="H137" s="42"/>
    </row>
    <row r="138">
      <c r="C138" s="42"/>
      <c r="D138" s="42"/>
      <c r="E138" s="42"/>
      <c r="G138" s="42"/>
      <c r="H138" s="42"/>
    </row>
    <row r="139">
      <c r="C139" s="42"/>
      <c r="D139" s="42"/>
      <c r="E139" s="42"/>
      <c r="G139" s="42"/>
      <c r="H139" s="42"/>
    </row>
    <row r="140">
      <c r="C140" s="42"/>
      <c r="D140" s="42"/>
      <c r="E140" s="42"/>
      <c r="G140" s="42"/>
      <c r="H140" s="42"/>
    </row>
    <row r="141">
      <c r="C141" s="42"/>
      <c r="D141" s="42"/>
      <c r="E141" s="42"/>
      <c r="G141" s="42"/>
      <c r="H141" s="42"/>
    </row>
    <row r="142">
      <c r="C142" s="42"/>
      <c r="D142" s="42"/>
      <c r="E142" s="42"/>
      <c r="G142" s="42"/>
      <c r="H142" s="42"/>
    </row>
    <row r="143">
      <c r="C143" s="42"/>
      <c r="D143" s="42"/>
      <c r="E143" s="42"/>
      <c r="G143" s="42"/>
      <c r="H143" s="42"/>
    </row>
    <row r="144">
      <c r="C144" s="42"/>
      <c r="D144" s="42"/>
      <c r="E144" s="42"/>
      <c r="G144" s="42"/>
      <c r="H144" s="42"/>
    </row>
    <row r="145">
      <c r="C145" s="42"/>
      <c r="D145" s="42"/>
      <c r="E145" s="42"/>
      <c r="G145" s="42"/>
      <c r="H145" s="42"/>
    </row>
    <row r="146">
      <c r="C146" s="42"/>
      <c r="D146" s="42"/>
      <c r="E146" s="42"/>
      <c r="G146" s="42"/>
      <c r="H146" s="42"/>
    </row>
    <row r="147">
      <c r="C147" s="42"/>
      <c r="D147" s="42"/>
      <c r="E147" s="42"/>
      <c r="G147" s="42"/>
      <c r="H147" s="42"/>
    </row>
    <row r="148">
      <c r="C148" s="42"/>
      <c r="D148" s="42"/>
      <c r="E148" s="42"/>
      <c r="G148" s="42"/>
      <c r="H148" s="42"/>
    </row>
    <row r="149">
      <c r="C149" s="42"/>
      <c r="D149" s="42"/>
      <c r="E149" s="42"/>
      <c r="G149" s="42"/>
      <c r="H149" s="42"/>
    </row>
    <row r="150">
      <c r="C150" s="42"/>
      <c r="D150" s="42"/>
      <c r="E150" s="42"/>
      <c r="G150" s="42"/>
      <c r="H150" s="42"/>
    </row>
    <row r="151">
      <c r="C151" s="42"/>
      <c r="D151" s="42"/>
      <c r="E151" s="42"/>
      <c r="G151" s="42"/>
      <c r="H151" s="42"/>
    </row>
    <row r="152">
      <c r="C152" s="42"/>
      <c r="D152" s="42"/>
      <c r="E152" s="42"/>
      <c r="G152" s="42"/>
      <c r="H152" s="42"/>
    </row>
    <row r="153">
      <c r="C153" s="42"/>
      <c r="D153" s="42"/>
      <c r="E153" s="42"/>
      <c r="G153" s="42"/>
      <c r="H153" s="42"/>
    </row>
    <row r="154">
      <c r="C154" s="42"/>
      <c r="D154" s="42"/>
      <c r="E154" s="42"/>
      <c r="G154" s="42"/>
      <c r="H154" s="42"/>
    </row>
    <row r="155">
      <c r="C155" s="42"/>
      <c r="D155" s="42"/>
      <c r="E155" s="42"/>
      <c r="G155" s="42"/>
      <c r="H155" s="42"/>
    </row>
    <row r="156">
      <c r="C156" s="42"/>
      <c r="D156" s="42"/>
      <c r="E156" s="42"/>
      <c r="G156" s="42"/>
      <c r="H156" s="42"/>
    </row>
    <row r="157">
      <c r="C157" s="42"/>
      <c r="D157" s="42"/>
      <c r="E157" s="42"/>
      <c r="G157" s="42"/>
      <c r="H157" s="42"/>
    </row>
    <row r="158">
      <c r="C158" s="42"/>
      <c r="D158" s="42"/>
      <c r="E158" s="42"/>
      <c r="G158" s="42"/>
      <c r="H158" s="42"/>
    </row>
    <row r="159">
      <c r="C159" s="42"/>
      <c r="D159" s="42"/>
      <c r="E159" s="42"/>
      <c r="G159" s="42"/>
      <c r="H159" s="42"/>
    </row>
    <row r="160">
      <c r="C160" s="42"/>
      <c r="D160" s="42"/>
      <c r="E160" s="42"/>
      <c r="G160" s="42"/>
      <c r="H160" s="42"/>
    </row>
    <row r="161">
      <c r="C161" s="42"/>
      <c r="D161" s="42"/>
      <c r="E161" s="42"/>
      <c r="G161" s="42"/>
      <c r="H161" s="42"/>
    </row>
    <row r="162">
      <c r="C162" s="42"/>
      <c r="D162" s="42"/>
      <c r="E162" s="42"/>
      <c r="G162" s="42"/>
      <c r="H162" s="42"/>
    </row>
    <row r="163">
      <c r="C163" s="42"/>
      <c r="D163" s="42"/>
      <c r="E163" s="42"/>
      <c r="G163" s="42"/>
      <c r="H163" s="42"/>
    </row>
    <row r="164">
      <c r="C164" s="42"/>
      <c r="D164" s="42"/>
      <c r="E164" s="42"/>
      <c r="G164" s="42"/>
      <c r="H164" s="42"/>
    </row>
    <row r="165">
      <c r="C165" s="42"/>
      <c r="D165" s="42"/>
      <c r="E165" s="42"/>
      <c r="G165" s="42"/>
      <c r="H165" s="42"/>
    </row>
    <row r="166">
      <c r="C166" s="42"/>
      <c r="D166" s="42"/>
      <c r="E166" s="42"/>
      <c r="G166" s="42"/>
      <c r="H166" s="42"/>
    </row>
    <row r="167">
      <c r="C167" s="42"/>
      <c r="D167" s="42"/>
      <c r="E167" s="42"/>
      <c r="G167" s="42"/>
      <c r="H167" s="42"/>
    </row>
    <row r="168">
      <c r="C168" s="42"/>
      <c r="D168" s="42"/>
      <c r="E168" s="42"/>
      <c r="G168" s="42"/>
      <c r="H168" s="42"/>
    </row>
    <row r="169">
      <c r="C169" s="42"/>
      <c r="D169" s="42"/>
      <c r="E169" s="42"/>
      <c r="G169" s="42"/>
      <c r="H169" s="42"/>
    </row>
    <row r="170">
      <c r="C170" s="42"/>
      <c r="D170" s="42"/>
      <c r="E170" s="42"/>
      <c r="G170" s="42"/>
      <c r="H170" s="42"/>
    </row>
    <row r="171">
      <c r="C171" s="42"/>
      <c r="D171" s="42"/>
      <c r="E171" s="42"/>
      <c r="G171" s="42"/>
      <c r="H171" s="42"/>
    </row>
    <row r="172">
      <c r="C172" s="42"/>
      <c r="D172" s="42"/>
      <c r="E172" s="42"/>
      <c r="G172" s="42"/>
      <c r="H172" s="42"/>
    </row>
    <row r="173">
      <c r="C173" s="42"/>
      <c r="D173" s="42"/>
      <c r="E173" s="42"/>
      <c r="G173" s="42"/>
      <c r="H173" s="42"/>
    </row>
    <row r="174">
      <c r="C174" s="42"/>
      <c r="D174" s="42"/>
      <c r="E174" s="42"/>
      <c r="G174" s="42"/>
      <c r="H174" s="42"/>
    </row>
    <row r="175">
      <c r="C175" s="42"/>
      <c r="D175" s="42"/>
      <c r="E175" s="42"/>
      <c r="G175" s="42"/>
      <c r="H175" s="42"/>
    </row>
    <row r="176">
      <c r="C176" s="42"/>
      <c r="D176" s="42"/>
      <c r="E176" s="42"/>
      <c r="G176" s="42"/>
      <c r="H176" s="42"/>
    </row>
    <row r="177">
      <c r="C177" s="42"/>
      <c r="D177" s="42"/>
      <c r="E177" s="42"/>
      <c r="G177" s="42"/>
      <c r="H177" s="42"/>
    </row>
    <row r="178">
      <c r="C178" s="42"/>
      <c r="D178" s="42"/>
      <c r="E178" s="42"/>
      <c r="G178" s="42"/>
      <c r="H178" s="42"/>
    </row>
    <row r="179">
      <c r="C179" s="42"/>
      <c r="D179" s="42"/>
      <c r="E179" s="42"/>
      <c r="G179" s="42"/>
      <c r="H179" s="42"/>
    </row>
    <row r="180">
      <c r="C180" s="42"/>
      <c r="D180" s="42"/>
      <c r="E180" s="42"/>
      <c r="G180" s="42"/>
      <c r="H180" s="42"/>
    </row>
    <row r="181">
      <c r="C181" s="42"/>
      <c r="D181" s="42"/>
      <c r="E181" s="42"/>
      <c r="G181" s="42"/>
      <c r="H181" s="42"/>
    </row>
    <row r="182">
      <c r="C182" s="42"/>
      <c r="D182" s="42"/>
      <c r="E182" s="42"/>
      <c r="G182" s="42"/>
      <c r="H182" s="42"/>
    </row>
    <row r="183">
      <c r="C183" s="42"/>
      <c r="D183" s="42"/>
      <c r="E183" s="42"/>
      <c r="G183" s="42"/>
      <c r="H183" s="42"/>
    </row>
    <row r="184">
      <c r="C184" s="42"/>
      <c r="D184" s="42"/>
      <c r="E184" s="42"/>
      <c r="G184" s="42"/>
      <c r="H184" s="42"/>
    </row>
    <row r="185">
      <c r="C185" s="42"/>
      <c r="D185" s="42"/>
      <c r="E185" s="42"/>
      <c r="G185" s="42"/>
      <c r="H185" s="42"/>
    </row>
    <row r="186">
      <c r="C186" s="42"/>
      <c r="D186" s="42"/>
      <c r="E186" s="42"/>
      <c r="G186" s="42"/>
      <c r="H186" s="42"/>
    </row>
    <row r="187">
      <c r="C187" s="42"/>
      <c r="D187" s="42"/>
      <c r="E187" s="42"/>
      <c r="G187" s="42"/>
      <c r="H187" s="42"/>
    </row>
    <row r="188">
      <c r="C188" s="42"/>
      <c r="D188" s="42"/>
      <c r="E188" s="42"/>
      <c r="G188" s="42"/>
      <c r="H188" s="42"/>
    </row>
    <row r="189">
      <c r="C189" s="42"/>
      <c r="D189" s="42"/>
      <c r="E189" s="42"/>
      <c r="G189" s="42"/>
      <c r="H189" s="42"/>
    </row>
    <row r="190">
      <c r="C190" s="42"/>
      <c r="D190" s="42"/>
      <c r="E190" s="42"/>
      <c r="G190" s="42"/>
      <c r="H190" s="42"/>
    </row>
    <row r="191">
      <c r="C191" s="42"/>
      <c r="D191" s="42"/>
      <c r="E191" s="42"/>
      <c r="G191" s="42"/>
      <c r="H191" s="42"/>
    </row>
    <row r="192">
      <c r="C192" s="42"/>
      <c r="D192" s="42"/>
      <c r="E192" s="42"/>
      <c r="G192" s="42"/>
      <c r="H192" s="42"/>
    </row>
    <row r="193">
      <c r="C193" s="42"/>
      <c r="D193" s="42"/>
      <c r="E193" s="42"/>
      <c r="G193" s="42"/>
      <c r="H193" s="42"/>
    </row>
    <row r="194">
      <c r="C194" s="42"/>
      <c r="D194" s="42"/>
      <c r="E194" s="42"/>
      <c r="G194" s="42"/>
      <c r="H194" s="42"/>
    </row>
    <row r="195">
      <c r="C195" s="42"/>
      <c r="D195" s="42"/>
      <c r="E195" s="42"/>
      <c r="G195" s="42"/>
      <c r="H195" s="42"/>
    </row>
    <row r="196">
      <c r="C196" s="42"/>
      <c r="D196" s="42"/>
      <c r="E196" s="42"/>
      <c r="G196" s="42"/>
      <c r="H196" s="42"/>
    </row>
    <row r="197">
      <c r="C197" s="42"/>
      <c r="D197" s="42"/>
      <c r="E197" s="42"/>
      <c r="G197" s="42"/>
      <c r="H197" s="42"/>
    </row>
    <row r="198">
      <c r="C198" s="42"/>
      <c r="D198" s="42"/>
      <c r="E198" s="42"/>
      <c r="G198" s="42"/>
      <c r="H198" s="42"/>
    </row>
    <row r="199">
      <c r="C199" s="42"/>
      <c r="D199" s="42"/>
      <c r="E199" s="42"/>
      <c r="G199" s="42"/>
      <c r="H199" s="42"/>
    </row>
    <row r="200">
      <c r="C200" s="42"/>
      <c r="D200" s="42"/>
      <c r="E200" s="42"/>
      <c r="G200" s="42"/>
      <c r="H200" s="42"/>
    </row>
    <row r="201">
      <c r="C201" s="42"/>
      <c r="D201" s="42"/>
      <c r="E201" s="42"/>
      <c r="G201" s="42"/>
      <c r="H201" s="42"/>
    </row>
    <row r="202">
      <c r="C202" s="42"/>
      <c r="D202" s="42"/>
      <c r="E202" s="42"/>
      <c r="G202" s="42"/>
      <c r="H202" s="42"/>
    </row>
    <row r="203">
      <c r="C203" s="42"/>
      <c r="D203" s="42"/>
      <c r="E203" s="42"/>
      <c r="G203" s="42"/>
      <c r="H203" s="42"/>
    </row>
    <row r="204">
      <c r="C204" s="42"/>
      <c r="D204" s="42"/>
      <c r="E204" s="42"/>
      <c r="G204" s="42"/>
      <c r="H204" s="42"/>
    </row>
    <row r="205">
      <c r="C205" s="42"/>
      <c r="D205" s="42"/>
      <c r="E205" s="42"/>
      <c r="G205" s="42"/>
      <c r="H205" s="42"/>
    </row>
    <row r="206">
      <c r="C206" s="42"/>
      <c r="D206" s="42"/>
      <c r="E206" s="42"/>
      <c r="G206" s="42"/>
      <c r="H206" s="42"/>
    </row>
    <row r="207">
      <c r="C207" s="42"/>
      <c r="D207" s="42"/>
      <c r="E207" s="42"/>
      <c r="G207" s="42"/>
      <c r="H207" s="42"/>
    </row>
    <row r="208">
      <c r="C208" s="42"/>
      <c r="D208" s="42"/>
      <c r="E208" s="42"/>
      <c r="G208" s="42"/>
      <c r="H208" s="42"/>
    </row>
    <row r="209">
      <c r="C209" s="42"/>
      <c r="D209" s="42"/>
      <c r="E209" s="42"/>
      <c r="G209" s="42"/>
      <c r="H209" s="42"/>
    </row>
    <row r="210">
      <c r="C210" s="42"/>
      <c r="D210" s="42"/>
      <c r="E210" s="42"/>
      <c r="G210" s="42"/>
      <c r="H210" s="42"/>
    </row>
    <row r="211">
      <c r="C211" s="42"/>
      <c r="D211" s="42"/>
      <c r="E211" s="42"/>
      <c r="G211" s="42"/>
      <c r="H211" s="42"/>
    </row>
    <row r="212">
      <c r="C212" s="42"/>
      <c r="D212" s="42"/>
      <c r="E212" s="42"/>
      <c r="G212" s="42"/>
      <c r="H212" s="42"/>
    </row>
    <row r="213">
      <c r="C213" s="42"/>
      <c r="D213" s="42"/>
      <c r="E213" s="42"/>
      <c r="G213" s="42"/>
      <c r="H213" s="42"/>
    </row>
    <row r="214">
      <c r="C214" s="42"/>
      <c r="D214" s="42"/>
      <c r="E214" s="42"/>
      <c r="G214" s="42"/>
      <c r="H214" s="42"/>
    </row>
    <row r="215">
      <c r="C215" s="42"/>
      <c r="D215" s="42"/>
      <c r="E215" s="42"/>
      <c r="G215" s="42"/>
      <c r="H215" s="42"/>
    </row>
    <row r="216">
      <c r="C216" s="42"/>
      <c r="D216" s="42"/>
      <c r="E216" s="42"/>
      <c r="G216" s="42"/>
      <c r="H216" s="42"/>
    </row>
    <row r="217">
      <c r="C217" s="42"/>
      <c r="D217" s="42"/>
      <c r="E217" s="42"/>
      <c r="G217" s="42"/>
      <c r="H217" s="42"/>
    </row>
    <row r="218">
      <c r="C218" s="42"/>
      <c r="D218" s="42"/>
      <c r="E218" s="42"/>
      <c r="G218" s="42"/>
      <c r="H218" s="42"/>
    </row>
    <row r="219">
      <c r="C219" s="42"/>
      <c r="D219" s="42"/>
      <c r="E219" s="42"/>
      <c r="G219" s="42"/>
      <c r="H219" s="42"/>
    </row>
    <row r="220">
      <c r="C220" s="42"/>
      <c r="D220" s="42"/>
      <c r="E220" s="42"/>
      <c r="G220" s="42"/>
      <c r="H220" s="42"/>
    </row>
    <row r="221">
      <c r="C221" s="42"/>
      <c r="D221" s="42"/>
      <c r="E221" s="42"/>
      <c r="G221" s="42"/>
      <c r="H221" s="42"/>
    </row>
    <row r="222">
      <c r="C222" s="42"/>
      <c r="D222" s="42"/>
      <c r="E222" s="42"/>
      <c r="G222" s="42"/>
      <c r="H222" s="42"/>
    </row>
    <row r="223">
      <c r="C223" s="42"/>
      <c r="D223" s="42"/>
      <c r="E223" s="42"/>
      <c r="G223" s="42"/>
      <c r="H223" s="42"/>
    </row>
    <row r="224">
      <c r="C224" s="42"/>
      <c r="D224" s="42"/>
      <c r="E224" s="42"/>
      <c r="G224" s="42"/>
      <c r="H224" s="42"/>
    </row>
    <row r="225">
      <c r="C225" s="42"/>
      <c r="D225" s="42"/>
      <c r="E225" s="42"/>
      <c r="G225" s="42"/>
      <c r="H225" s="42"/>
    </row>
    <row r="226">
      <c r="C226" s="42"/>
      <c r="D226" s="42"/>
      <c r="E226" s="42"/>
      <c r="G226" s="42"/>
      <c r="H226" s="42"/>
    </row>
    <row r="227">
      <c r="C227" s="42"/>
      <c r="D227" s="42"/>
      <c r="E227" s="42"/>
      <c r="G227" s="42"/>
      <c r="H227" s="42"/>
    </row>
    <row r="228">
      <c r="C228" s="42"/>
      <c r="D228" s="42"/>
      <c r="E228" s="42"/>
      <c r="G228" s="42"/>
      <c r="H228" s="42"/>
    </row>
    <row r="229">
      <c r="C229" s="42"/>
      <c r="D229" s="42"/>
      <c r="E229" s="42"/>
      <c r="G229" s="42"/>
      <c r="H229" s="42"/>
    </row>
    <row r="230">
      <c r="C230" s="42"/>
      <c r="D230" s="42"/>
      <c r="E230" s="42"/>
      <c r="G230" s="42"/>
      <c r="H230" s="42"/>
    </row>
    <row r="231">
      <c r="C231" s="42"/>
      <c r="D231" s="42"/>
      <c r="E231" s="42"/>
      <c r="G231" s="42"/>
      <c r="H231" s="42"/>
    </row>
    <row r="232">
      <c r="C232" s="42"/>
      <c r="D232" s="42"/>
      <c r="E232" s="42"/>
      <c r="G232" s="42"/>
      <c r="H232" s="42"/>
    </row>
    <row r="233">
      <c r="C233" s="42"/>
      <c r="D233" s="42"/>
      <c r="E233" s="42"/>
      <c r="G233" s="42"/>
      <c r="H233" s="42"/>
    </row>
    <row r="234">
      <c r="C234" s="42"/>
      <c r="D234" s="42"/>
      <c r="E234" s="42"/>
      <c r="G234" s="42"/>
      <c r="H234" s="42"/>
    </row>
    <row r="235">
      <c r="C235" s="42"/>
      <c r="D235" s="42"/>
      <c r="E235" s="42"/>
      <c r="G235" s="42"/>
      <c r="H235" s="42"/>
    </row>
    <row r="236">
      <c r="C236" s="42"/>
      <c r="D236" s="42"/>
      <c r="E236" s="42"/>
      <c r="G236" s="42"/>
      <c r="H236" s="42"/>
    </row>
    <row r="237">
      <c r="C237" s="42"/>
      <c r="D237" s="42"/>
      <c r="E237" s="42"/>
      <c r="G237" s="42"/>
      <c r="H237" s="42"/>
    </row>
    <row r="238">
      <c r="C238" s="42"/>
      <c r="D238" s="42"/>
      <c r="E238" s="42"/>
      <c r="G238" s="42"/>
      <c r="H238" s="42"/>
    </row>
    <row r="239">
      <c r="C239" s="42"/>
      <c r="D239" s="42"/>
      <c r="E239" s="42"/>
      <c r="G239" s="42"/>
      <c r="H239" s="42"/>
    </row>
    <row r="240">
      <c r="C240" s="42"/>
      <c r="D240" s="42"/>
      <c r="E240" s="42"/>
      <c r="G240" s="42"/>
      <c r="H240" s="42"/>
    </row>
    <row r="241">
      <c r="C241" s="42"/>
      <c r="D241" s="42"/>
      <c r="E241" s="42"/>
      <c r="G241" s="42"/>
      <c r="H241" s="42"/>
    </row>
    <row r="242">
      <c r="C242" s="42"/>
      <c r="D242" s="42"/>
      <c r="E242" s="42"/>
      <c r="G242" s="42"/>
      <c r="H242" s="42"/>
    </row>
    <row r="243">
      <c r="C243" s="42"/>
      <c r="D243" s="42"/>
      <c r="E243" s="42"/>
      <c r="G243" s="42"/>
      <c r="H243" s="42"/>
    </row>
    <row r="244">
      <c r="C244" s="42"/>
      <c r="D244" s="42"/>
      <c r="E244" s="42"/>
      <c r="G244" s="42"/>
      <c r="H244" s="42"/>
    </row>
    <row r="245">
      <c r="C245" s="42"/>
      <c r="D245" s="42"/>
      <c r="E245" s="42"/>
      <c r="G245" s="42"/>
      <c r="H245" s="42"/>
    </row>
    <row r="246">
      <c r="C246" s="42"/>
      <c r="D246" s="42"/>
      <c r="E246" s="42"/>
      <c r="G246" s="42"/>
      <c r="H246" s="42"/>
    </row>
    <row r="247">
      <c r="C247" s="42"/>
      <c r="D247" s="42"/>
      <c r="E247" s="42"/>
      <c r="G247" s="42"/>
      <c r="H247" s="42"/>
    </row>
    <row r="248">
      <c r="C248" s="42"/>
      <c r="D248" s="42"/>
      <c r="E248" s="42"/>
      <c r="G248" s="42"/>
      <c r="H248" s="42"/>
    </row>
    <row r="249">
      <c r="C249" s="42"/>
      <c r="D249" s="42"/>
      <c r="E249" s="42"/>
      <c r="G249" s="42"/>
      <c r="H249" s="42"/>
    </row>
    <row r="250">
      <c r="C250" s="42"/>
      <c r="D250" s="42"/>
      <c r="E250" s="42"/>
      <c r="G250" s="42"/>
      <c r="H250" s="42"/>
    </row>
    <row r="251">
      <c r="C251" s="42"/>
      <c r="D251" s="42"/>
      <c r="E251" s="42"/>
      <c r="G251" s="42"/>
      <c r="H251" s="42"/>
    </row>
    <row r="252">
      <c r="C252" s="42"/>
      <c r="D252" s="42"/>
      <c r="E252" s="42"/>
      <c r="G252" s="42"/>
      <c r="H252" s="42"/>
    </row>
    <row r="253">
      <c r="C253" s="42"/>
      <c r="D253" s="42"/>
      <c r="E253" s="42"/>
      <c r="G253" s="42"/>
      <c r="H253" s="42"/>
    </row>
    <row r="254">
      <c r="C254" s="42"/>
      <c r="D254" s="42"/>
      <c r="E254" s="42"/>
      <c r="G254" s="42"/>
      <c r="H254" s="42"/>
    </row>
    <row r="255">
      <c r="C255" s="42"/>
      <c r="D255" s="42"/>
      <c r="E255" s="42"/>
      <c r="G255" s="42"/>
      <c r="H255" s="42"/>
    </row>
    <row r="256">
      <c r="C256" s="42"/>
      <c r="D256" s="42"/>
      <c r="E256" s="42"/>
      <c r="G256" s="42"/>
      <c r="H256" s="42"/>
    </row>
    <row r="257">
      <c r="C257" s="42"/>
      <c r="D257" s="42"/>
      <c r="E257" s="42"/>
      <c r="G257" s="42"/>
      <c r="H257" s="42"/>
    </row>
    <row r="258">
      <c r="C258" s="42"/>
      <c r="D258" s="42"/>
      <c r="E258" s="42"/>
      <c r="G258" s="42"/>
      <c r="H258" s="42"/>
    </row>
    <row r="259">
      <c r="C259" s="42"/>
      <c r="D259" s="42"/>
      <c r="E259" s="42"/>
      <c r="G259" s="42"/>
      <c r="H259" s="42"/>
    </row>
    <row r="260">
      <c r="C260" s="42"/>
      <c r="D260" s="42"/>
      <c r="E260" s="42"/>
      <c r="G260" s="42"/>
      <c r="H260" s="42"/>
    </row>
    <row r="261">
      <c r="C261" s="42"/>
      <c r="D261" s="42"/>
      <c r="E261" s="42"/>
      <c r="G261" s="42"/>
      <c r="H261" s="42"/>
    </row>
    <row r="262">
      <c r="C262" s="42"/>
      <c r="D262" s="42"/>
      <c r="E262" s="42"/>
      <c r="G262" s="42"/>
      <c r="H262" s="42"/>
    </row>
    <row r="263">
      <c r="C263" s="42"/>
      <c r="D263" s="42"/>
      <c r="E263" s="42"/>
      <c r="G263" s="42"/>
      <c r="H263" s="42"/>
    </row>
    <row r="264">
      <c r="C264" s="42"/>
      <c r="D264" s="42"/>
      <c r="E264" s="42"/>
      <c r="G264" s="42"/>
      <c r="H264" s="42"/>
    </row>
    <row r="265">
      <c r="C265" s="42"/>
      <c r="D265" s="42"/>
      <c r="E265" s="42"/>
      <c r="G265" s="42"/>
      <c r="H265" s="42"/>
    </row>
    <row r="266">
      <c r="C266" s="42"/>
      <c r="D266" s="42"/>
      <c r="E266" s="42"/>
      <c r="G266" s="42"/>
      <c r="H266" s="42"/>
    </row>
    <row r="267">
      <c r="C267" s="42"/>
      <c r="D267" s="42"/>
      <c r="E267" s="42"/>
      <c r="G267" s="42"/>
      <c r="H267" s="42"/>
    </row>
    <row r="268">
      <c r="C268" s="42"/>
      <c r="D268" s="42"/>
      <c r="E268" s="42"/>
      <c r="G268" s="42"/>
      <c r="H268" s="42"/>
    </row>
    <row r="269">
      <c r="C269" s="42"/>
      <c r="D269" s="42"/>
      <c r="E269" s="42"/>
      <c r="G269" s="42"/>
      <c r="H269" s="42"/>
    </row>
    <row r="270">
      <c r="C270" s="42"/>
      <c r="D270" s="42"/>
      <c r="E270" s="42"/>
      <c r="G270" s="42"/>
      <c r="H270" s="42"/>
    </row>
    <row r="271">
      <c r="C271" s="42"/>
      <c r="D271" s="42"/>
      <c r="E271" s="42"/>
      <c r="G271" s="42"/>
      <c r="H271" s="42"/>
    </row>
    <row r="272">
      <c r="C272" s="42"/>
      <c r="D272" s="42"/>
      <c r="E272" s="42"/>
      <c r="G272" s="42"/>
      <c r="H272" s="42"/>
    </row>
    <row r="273">
      <c r="C273" s="42"/>
      <c r="D273" s="42"/>
      <c r="E273" s="42"/>
      <c r="G273" s="42"/>
      <c r="H273" s="42"/>
    </row>
    <row r="274">
      <c r="C274" s="42"/>
      <c r="D274" s="42"/>
      <c r="E274" s="42"/>
      <c r="G274" s="42"/>
      <c r="H274" s="42"/>
    </row>
    <row r="275">
      <c r="C275" s="42"/>
      <c r="D275" s="42"/>
      <c r="E275" s="42"/>
      <c r="G275" s="42"/>
      <c r="H275" s="42"/>
    </row>
    <row r="276">
      <c r="C276" s="42"/>
      <c r="D276" s="42"/>
      <c r="E276" s="42"/>
      <c r="G276" s="42"/>
      <c r="H276" s="42"/>
    </row>
    <row r="277">
      <c r="C277" s="42"/>
      <c r="D277" s="42"/>
      <c r="E277" s="42"/>
      <c r="G277" s="42"/>
      <c r="H277" s="42"/>
    </row>
    <row r="278">
      <c r="C278" s="42"/>
      <c r="D278" s="42"/>
      <c r="E278" s="42"/>
      <c r="G278" s="42"/>
      <c r="H278" s="42"/>
    </row>
    <row r="279">
      <c r="C279" s="42"/>
      <c r="D279" s="42"/>
      <c r="E279" s="42"/>
      <c r="G279" s="42"/>
      <c r="H279" s="42"/>
    </row>
    <row r="280">
      <c r="C280" s="42"/>
      <c r="D280" s="42"/>
      <c r="E280" s="42"/>
      <c r="G280" s="42"/>
      <c r="H280" s="42"/>
    </row>
    <row r="281">
      <c r="C281" s="42"/>
      <c r="D281" s="42"/>
      <c r="E281" s="42"/>
      <c r="G281" s="42"/>
      <c r="H281" s="42"/>
    </row>
    <row r="282">
      <c r="C282" s="42"/>
      <c r="D282" s="42"/>
      <c r="E282" s="42"/>
      <c r="G282" s="42"/>
      <c r="H282" s="42"/>
    </row>
    <row r="283">
      <c r="C283" s="42"/>
      <c r="D283" s="42"/>
      <c r="E283" s="42"/>
      <c r="G283" s="42"/>
      <c r="H283" s="42"/>
    </row>
    <row r="284">
      <c r="C284" s="42"/>
      <c r="D284" s="42"/>
      <c r="E284" s="42"/>
      <c r="G284" s="42"/>
      <c r="H284" s="42"/>
    </row>
    <row r="285">
      <c r="C285" s="42"/>
      <c r="D285" s="42"/>
      <c r="E285" s="42"/>
      <c r="G285" s="42"/>
      <c r="H285" s="42"/>
    </row>
    <row r="286">
      <c r="C286" s="42"/>
      <c r="D286" s="42"/>
      <c r="E286" s="42"/>
      <c r="G286" s="42"/>
      <c r="H286" s="42"/>
    </row>
    <row r="287">
      <c r="C287" s="42"/>
      <c r="D287" s="42"/>
      <c r="E287" s="42"/>
      <c r="G287" s="42"/>
      <c r="H287" s="42"/>
    </row>
    <row r="288">
      <c r="C288" s="42"/>
      <c r="D288" s="42"/>
      <c r="E288" s="42"/>
      <c r="G288" s="42"/>
      <c r="H288" s="42"/>
    </row>
    <row r="289">
      <c r="C289" s="42"/>
      <c r="D289" s="42"/>
      <c r="E289" s="42"/>
      <c r="G289" s="42"/>
      <c r="H289" s="42"/>
    </row>
    <row r="290">
      <c r="C290" s="42"/>
      <c r="D290" s="42"/>
      <c r="E290" s="42"/>
      <c r="G290" s="42"/>
      <c r="H290" s="42"/>
    </row>
    <row r="291">
      <c r="C291" s="42"/>
      <c r="D291" s="42"/>
      <c r="E291" s="42"/>
      <c r="G291" s="42"/>
      <c r="H291" s="42"/>
    </row>
    <row r="292">
      <c r="C292" s="42"/>
      <c r="D292" s="42"/>
      <c r="E292" s="42"/>
      <c r="G292" s="42"/>
      <c r="H292" s="42"/>
    </row>
    <row r="293">
      <c r="C293" s="42"/>
      <c r="D293" s="42"/>
      <c r="E293" s="42"/>
      <c r="G293" s="42"/>
      <c r="H293" s="42"/>
    </row>
    <row r="294">
      <c r="C294" s="42"/>
      <c r="D294" s="42"/>
      <c r="E294" s="42"/>
      <c r="G294" s="42"/>
      <c r="H294" s="42"/>
    </row>
    <row r="295">
      <c r="C295" s="42"/>
      <c r="D295" s="42"/>
      <c r="E295" s="42"/>
      <c r="G295" s="42"/>
      <c r="H295" s="42"/>
    </row>
    <row r="296">
      <c r="C296" s="42"/>
      <c r="D296" s="42"/>
      <c r="E296" s="42"/>
      <c r="G296" s="42"/>
      <c r="H296" s="42"/>
    </row>
    <row r="297">
      <c r="C297" s="42"/>
      <c r="D297" s="42"/>
      <c r="E297" s="42"/>
      <c r="G297" s="42"/>
      <c r="H297" s="42"/>
    </row>
    <row r="298">
      <c r="C298" s="42"/>
      <c r="D298" s="42"/>
      <c r="E298" s="42"/>
      <c r="G298" s="42"/>
      <c r="H298" s="42"/>
    </row>
    <row r="299">
      <c r="C299" s="42"/>
      <c r="D299" s="42"/>
      <c r="E299" s="42"/>
      <c r="G299" s="42"/>
      <c r="H299" s="42"/>
    </row>
    <row r="300">
      <c r="C300" s="42"/>
      <c r="D300" s="42"/>
      <c r="E300" s="42"/>
      <c r="G300" s="42"/>
      <c r="H300" s="42"/>
    </row>
    <row r="301">
      <c r="C301" s="42"/>
      <c r="D301" s="42"/>
      <c r="E301" s="42"/>
      <c r="G301" s="42"/>
      <c r="H301" s="42"/>
    </row>
    <row r="302">
      <c r="C302" s="42"/>
      <c r="D302" s="42"/>
      <c r="E302" s="42"/>
      <c r="G302" s="42"/>
      <c r="H302" s="42"/>
    </row>
    <row r="303">
      <c r="C303" s="42"/>
      <c r="D303" s="42"/>
      <c r="E303" s="42"/>
      <c r="G303" s="42"/>
      <c r="H303" s="42"/>
    </row>
    <row r="304">
      <c r="C304" s="42"/>
      <c r="D304" s="42"/>
      <c r="E304" s="42"/>
      <c r="G304" s="42"/>
      <c r="H304" s="42"/>
    </row>
    <row r="305">
      <c r="C305" s="42"/>
      <c r="D305" s="42"/>
      <c r="E305" s="42"/>
      <c r="G305" s="42"/>
      <c r="H305" s="42"/>
    </row>
    <row r="306">
      <c r="C306" s="42"/>
      <c r="D306" s="42"/>
      <c r="E306" s="42"/>
      <c r="G306" s="42"/>
      <c r="H306" s="42"/>
    </row>
    <row r="307">
      <c r="C307" s="42"/>
      <c r="D307" s="42"/>
      <c r="E307" s="42"/>
      <c r="G307" s="42"/>
      <c r="H307" s="42"/>
    </row>
    <row r="308">
      <c r="C308" s="42"/>
      <c r="D308" s="42"/>
      <c r="E308" s="42"/>
      <c r="G308" s="42"/>
      <c r="H308" s="42"/>
    </row>
    <row r="309">
      <c r="C309" s="42"/>
      <c r="D309" s="42"/>
      <c r="E309" s="42"/>
      <c r="G309" s="42"/>
      <c r="H309" s="42"/>
    </row>
    <row r="310">
      <c r="C310" s="42"/>
      <c r="D310" s="42"/>
      <c r="E310" s="42"/>
      <c r="G310" s="42"/>
      <c r="H310" s="42"/>
    </row>
    <row r="311">
      <c r="C311" s="42"/>
      <c r="D311" s="42"/>
      <c r="E311" s="42"/>
      <c r="G311" s="42"/>
      <c r="H311" s="42"/>
    </row>
    <row r="312">
      <c r="C312" s="42"/>
      <c r="D312" s="42"/>
      <c r="E312" s="42"/>
      <c r="G312" s="42"/>
      <c r="H312" s="42"/>
    </row>
    <row r="313">
      <c r="C313" s="42"/>
      <c r="D313" s="42"/>
      <c r="E313" s="42"/>
      <c r="G313" s="42"/>
      <c r="H313" s="42"/>
    </row>
    <row r="314">
      <c r="C314" s="42"/>
      <c r="D314" s="42"/>
      <c r="E314" s="42"/>
      <c r="G314" s="42"/>
      <c r="H314" s="42"/>
    </row>
    <row r="315">
      <c r="C315" s="42"/>
      <c r="D315" s="42"/>
      <c r="E315" s="42"/>
      <c r="G315" s="42"/>
      <c r="H315" s="42"/>
    </row>
    <row r="316">
      <c r="C316" s="42"/>
      <c r="D316" s="42"/>
      <c r="E316" s="42"/>
      <c r="G316" s="42"/>
      <c r="H316" s="42"/>
    </row>
    <row r="317">
      <c r="C317" s="42"/>
      <c r="D317" s="42"/>
      <c r="E317" s="42"/>
      <c r="G317" s="42"/>
      <c r="H317" s="42"/>
    </row>
    <row r="318">
      <c r="C318" s="42"/>
      <c r="D318" s="42"/>
      <c r="E318" s="42"/>
      <c r="G318" s="42"/>
      <c r="H318" s="42"/>
    </row>
    <row r="319">
      <c r="C319" s="42"/>
      <c r="D319" s="42"/>
      <c r="E319" s="42"/>
      <c r="G319" s="42"/>
      <c r="H319" s="42"/>
    </row>
    <row r="320">
      <c r="C320" s="42"/>
      <c r="D320" s="42"/>
      <c r="E320" s="42"/>
      <c r="G320" s="42"/>
      <c r="H320" s="42"/>
    </row>
    <row r="321">
      <c r="C321" s="42"/>
      <c r="D321" s="42"/>
      <c r="E321" s="42"/>
      <c r="G321" s="42"/>
      <c r="H321" s="42"/>
    </row>
    <row r="322">
      <c r="C322" s="42"/>
      <c r="D322" s="42"/>
      <c r="E322" s="42"/>
      <c r="G322" s="42"/>
      <c r="H322" s="42"/>
    </row>
    <row r="323">
      <c r="C323" s="42"/>
      <c r="D323" s="42"/>
      <c r="E323" s="42"/>
      <c r="G323" s="42"/>
      <c r="H323" s="42"/>
    </row>
    <row r="324">
      <c r="C324" s="42"/>
      <c r="D324" s="42"/>
      <c r="E324" s="42"/>
      <c r="G324" s="42"/>
      <c r="H324" s="42"/>
    </row>
    <row r="325">
      <c r="C325" s="42"/>
      <c r="D325" s="42"/>
      <c r="E325" s="42"/>
      <c r="G325" s="42"/>
      <c r="H325" s="42"/>
    </row>
    <row r="326">
      <c r="C326" s="42"/>
      <c r="D326" s="42"/>
      <c r="E326" s="42"/>
      <c r="G326" s="42"/>
      <c r="H326" s="42"/>
    </row>
    <row r="327">
      <c r="C327" s="42"/>
      <c r="D327" s="42"/>
      <c r="E327" s="42"/>
      <c r="G327" s="42"/>
      <c r="H327" s="42"/>
    </row>
    <row r="328">
      <c r="C328" s="42"/>
      <c r="D328" s="42"/>
      <c r="E328" s="42"/>
      <c r="G328" s="42"/>
      <c r="H328" s="42"/>
    </row>
    <row r="329">
      <c r="C329" s="42"/>
      <c r="D329" s="42"/>
      <c r="E329" s="42"/>
      <c r="G329" s="42"/>
      <c r="H329" s="42"/>
    </row>
    <row r="330">
      <c r="C330" s="42"/>
      <c r="D330" s="42"/>
      <c r="E330" s="42"/>
      <c r="G330" s="42"/>
      <c r="H330" s="42"/>
    </row>
    <row r="331">
      <c r="C331" s="42"/>
      <c r="D331" s="42"/>
      <c r="E331" s="42"/>
      <c r="G331" s="42"/>
      <c r="H331" s="42"/>
    </row>
    <row r="332">
      <c r="C332" s="42"/>
      <c r="D332" s="42"/>
      <c r="E332" s="42"/>
      <c r="G332" s="42"/>
      <c r="H332" s="42"/>
    </row>
    <row r="333">
      <c r="C333" s="42"/>
      <c r="D333" s="42"/>
      <c r="E333" s="42"/>
      <c r="G333" s="42"/>
      <c r="H333" s="42"/>
    </row>
    <row r="334">
      <c r="C334" s="42"/>
      <c r="D334" s="42"/>
      <c r="E334" s="42"/>
      <c r="G334" s="42"/>
      <c r="H334" s="42"/>
    </row>
    <row r="335">
      <c r="C335" s="42"/>
      <c r="D335" s="42"/>
      <c r="E335" s="42"/>
      <c r="G335" s="42"/>
      <c r="H335" s="42"/>
    </row>
    <row r="336">
      <c r="C336" s="42"/>
      <c r="D336" s="42"/>
      <c r="E336" s="42"/>
      <c r="G336" s="42"/>
      <c r="H336" s="42"/>
    </row>
    <row r="337">
      <c r="C337" s="42"/>
      <c r="D337" s="42"/>
      <c r="E337" s="42"/>
      <c r="G337" s="42"/>
      <c r="H337" s="42"/>
    </row>
    <row r="338">
      <c r="C338" s="42"/>
      <c r="D338" s="42"/>
      <c r="E338" s="42"/>
      <c r="G338" s="42"/>
      <c r="H338" s="42"/>
    </row>
    <row r="339">
      <c r="C339" s="42"/>
      <c r="D339" s="42"/>
      <c r="E339" s="42"/>
      <c r="G339" s="42"/>
      <c r="H339" s="42"/>
    </row>
    <row r="340">
      <c r="C340" s="42"/>
      <c r="D340" s="42"/>
      <c r="E340" s="42"/>
      <c r="G340" s="42"/>
      <c r="H340" s="42"/>
    </row>
    <row r="341">
      <c r="C341" s="42"/>
      <c r="D341" s="42"/>
      <c r="E341" s="42"/>
      <c r="G341" s="42"/>
      <c r="H341" s="42"/>
    </row>
    <row r="342">
      <c r="C342" s="42"/>
      <c r="D342" s="42"/>
      <c r="E342" s="42"/>
      <c r="G342" s="42"/>
      <c r="H342" s="42"/>
    </row>
    <row r="343">
      <c r="C343" s="42"/>
      <c r="D343" s="42"/>
      <c r="E343" s="42"/>
      <c r="G343" s="42"/>
      <c r="H343" s="42"/>
    </row>
    <row r="344">
      <c r="C344" s="42"/>
      <c r="D344" s="42"/>
      <c r="E344" s="42"/>
      <c r="G344" s="42"/>
      <c r="H344" s="42"/>
    </row>
    <row r="345">
      <c r="C345" s="42"/>
      <c r="D345" s="42"/>
      <c r="E345" s="42"/>
      <c r="G345" s="42"/>
      <c r="H345" s="42"/>
    </row>
    <row r="346">
      <c r="C346" s="42"/>
      <c r="D346" s="42"/>
      <c r="E346" s="42"/>
      <c r="G346" s="42"/>
      <c r="H346" s="42"/>
    </row>
    <row r="347">
      <c r="C347" s="42"/>
      <c r="D347" s="42"/>
      <c r="E347" s="42"/>
      <c r="G347" s="42"/>
      <c r="H347" s="42"/>
    </row>
    <row r="348">
      <c r="C348" s="42"/>
      <c r="D348" s="42"/>
      <c r="E348" s="42"/>
      <c r="G348" s="42"/>
      <c r="H348" s="42"/>
    </row>
    <row r="349">
      <c r="C349" s="42"/>
      <c r="D349" s="42"/>
      <c r="E349" s="42"/>
      <c r="G349" s="42"/>
      <c r="H349" s="42"/>
    </row>
    <row r="350">
      <c r="C350" s="42"/>
      <c r="D350" s="42"/>
      <c r="E350" s="42"/>
      <c r="G350" s="42"/>
      <c r="H350" s="42"/>
    </row>
    <row r="351">
      <c r="C351" s="42"/>
      <c r="D351" s="42"/>
      <c r="E351" s="42"/>
      <c r="G351" s="42"/>
      <c r="H351" s="42"/>
    </row>
    <row r="352">
      <c r="C352" s="42"/>
      <c r="D352" s="42"/>
      <c r="E352" s="42"/>
      <c r="G352" s="42"/>
      <c r="H352" s="42"/>
    </row>
    <row r="353">
      <c r="C353" s="42"/>
      <c r="D353" s="42"/>
      <c r="E353" s="42"/>
      <c r="G353" s="42"/>
      <c r="H353" s="42"/>
    </row>
    <row r="354">
      <c r="C354" s="42"/>
      <c r="D354" s="42"/>
      <c r="E354" s="42"/>
      <c r="G354" s="42"/>
      <c r="H354" s="42"/>
    </row>
    <row r="355">
      <c r="C355" s="42"/>
      <c r="D355" s="42"/>
      <c r="E355" s="42"/>
      <c r="G355" s="42"/>
      <c r="H355" s="42"/>
    </row>
    <row r="356">
      <c r="C356" s="42"/>
      <c r="D356" s="42"/>
      <c r="E356" s="42"/>
      <c r="G356" s="42"/>
      <c r="H356" s="42"/>
    </row>
    <row r="357">
      <c r="C357" s="42"/>
      <c r="D357" s="42"/>
      <c r="E357" s="42"/>
      <c r="G357" s="42"/>
      <c r="H357" s="42"/>
    </row>
    <row r="358">
      <c r="C358" s="42"/>
      <c r="D358" s="42"/>
      <c r="E358" s="42"/>
      <c r="G358" s="42"/>
      <c r="H358" s="42"/>
    </row>
    <row r="359">
      <c r="C359" s="42"/>
      <c r="D359" s="42"/>
      <c r="E359" s="42"/>
      <c r="G359" s="42"/>
      <c r="H359" s="42"/>
    </row>
    <row r="360">
      <c r="C360" s="42"/>
      <c r="D360" s="42"/>
      <c r="E360" s="42"/>
      <c r="G360" s="42"/>
      <c r="H360" s="42"/>
    </row>
    <row r="361">
      <c r="C361" s="42"/>
      <c r="D361" s="42"/>
      <c r="E361" s="42"/>
      <c r="G361" s="42"/>
      <c r="H361" s="42"/>
    </row>
    <row r="362">
      <c r="C362" s="42"/>
      <c r="D362" s="42"/>
      <c r="E362" s="42"/>
      <c r="G362" s="42"/>
      <c r="H362" s="42"/>
    </row>
    <row r="363">
      <c r="C363" s="42"/>
      <c r="D363" s="42"/>
      <c r="E363" s="42"/>
      <c r="G363" s="42"/>
      <c r="H363" s="42"/>
    </row>
    <row r="364">
      <c r="C364" s="42"/>
      <c r="D364" s="42"/>
      <c r="E364" s="42"/>
      <c r="G364" s="42"/>
      <c r="H364" s="42"/>
    </row>
    <row r="365">
      <c r="C365" s="42"/>
      <c r="D365" s="42"/>
      <c r="E365" s="42"/>
      <c r="G365" s="42"/>
      <c r="H365" s="42"/>
    </row>
    <row r="366">
      <c r="C366" s="42"/>
      <c r="D366" s="42"/>
      <c r="E366" s="42"/>
      <c r="G366" s="42"/>
      <c r="H366" s="42"/>
    </row>
    <row r="367">
      <c r="C367" s="42"/>
      <c r="D367" s="42"/>
      <c r="E367" s="42"/>
      <c r="G367" s="42"/>
      <c r="H367" s="42"/>
    </row>
    <row r="368">
      <c r="C368" s="42"/>
      <c r="D368" s="42"/>
      <c r="E368" s="42"/>
      <c r="G368" s="42"/>
      <c r="H368" s="42"/>
    </row>
    <row r="369">
      <c r="C369" s="42"/>
      <c r="D369" s="42"/>
      <c r="E369" s="42"/>
      <c r="G369" s="42"/>
      <c r="H369" s="42"/>
    </row>
    <row r="370">
      <c r="C370" s="42"/>
      <c r="D370" s="42"/>
      <c r="E370" s="42"/>
      <c r="G370" s="42"/>
      <c r="H370" s="42"/>
    </row>
    <row r="371">
      <c r="C371" s="42"/>
      <c r="D371" s="42"/>
      <c r="E371" s="42"/>
      <c r="G371" s="42"/>
      <c r="H371" s="42"/>
    </row>
    <row r="372">
      <c r="C372" s="42"/>
      <c r="D372" s="42"/>
      <c r="E372" s="42"/>
      <c r="G372" s="42"/>
      <c r="H372" s="42"/>
    </row>
    <row r="373">
      <c r="C373" s="42"/>
      <c r="D373" s="42"/>
      <c r="E373" s="42"/>
      <c r="G373" s="42"/>
      <c r="H373" s="42"/>
    </row>
    <row r="374">
      <c r="C374" s="42"/>
      <c r="D374" s="42"/>
      <c r="E374" s="42"/>
      <c r="G374" s="42"/>
      <c r="H374" s="42"/>
    </row>
    <row r="375">
      <c r="C375" s="42"/>
      <c r="D375" s="42"/>
      <c r="E375" s="42"/>
      <c r="G375" s="42"/>
      <c r="H375" s="42"/>
    </row>
    <row r="376">
      <c r="C376" s="42"/>
      <c r="D376" s="42"/>
      <c r="E376" s="42"/>
      <c r="G376" s="42"/>
      <c r="H376" s="42"/>
    </row>
    <row r="377">
      <c r="C377" s="42"/>
      <c r="D377" s="42"/>
      <c r="E377" s="42"/>
      <c r="G377" s="42"/>
      <c r="H377" s="42"/>
    </row>
    <row r="378">
      <c r="C378" s="42"/>
      <c r="D378" s="42"/>
      <c r="E378" s="42"/>
      <c r="G378" s="42"/>
      <c r="H378" s="42"/>
    </row>
    <row r="379">
      <c r="C379" s="42"/>
      <c r="D379" s="42"/>
      <c r="E379" s="42"/>
      <c r="G379" s="42"/>
      <c r="H379" s="42"/>
    </row>
    <row r="380">
      <c r="C380" s="42"/>
      <c r="D380" s="42"/>
      <c r="E380" s="42"/>
      <c r="G380" s="42"/>
      <c r="H380" s="42"/>
    </row>
    <row r="381">
      <c r="C381" s="42"/>
      <c r="D381" s="42"/>
      <c r="E381" s="42"/>
      <c r="G381" s="42"/>
      <c r="H381" s="42"/>
    </row>
    <row r="382">
      <c r="C382" s="42"/>
      <c r="D382" s="42"/>
      <c r="E382" s="42"/>
      <c r="G382" s="42"/>
      <c r="H382" s="42"/>
    </row>
    <row r="383">
      <c r="C383" s="42"/>
      <c r="D383" s="42"/>
      <c r="E383" s="42"/>
      <c r="G383" s="42"/>
      <c r="H383" s="42"/>
    </row>
    <row r="384">
      <c r="C384" s="42"/>
      <c r="D384" s="42"/>
      <c r="E384" s="42"/>
      <c r="G384" s="42"/>
      <c r="H384" s="42"/>
    </row>
    <row r="385">
      <c r="C385" s="42"/>
      <c r="D385" s="42"/>
      <c r="E385" s="42"/>
      <c r="G385" s="42"/>
      <c r="H385" s="42"/>
    </row>
    <row r="386">
      <c r="C386" s="42"/>
      <c r="D386" s="42"/>
      <c r="E386" s="42"/>
      <c r="G386" s="42"/>
      <c r="H386" s="42"/>
    </row>
    <row r="387">
      <c r="C387" s="42"/>
      <c r="D387" s="42"/>
      <c r="E387" s="42"/>
      <c r="G387" s="42"/>
      <c r="H387" s="42"/>
    </row>
    <row r="388">
      <c r="C388" s="42"/>
      <c r="D388" s="42"/>
      <c r="E388" s="42"/>
      <c r="G388" s="42"/>
      <c r="H388" s="42"/>
    </row>
    <row r="389">
      <c r="C389" s="42"/>
      <c r="D389" s="42"/>
      <c r="E389" s="42"/>
      <c r="G389" s="42"/>
      <c r="H389" s="42"/>
    </row>
    <row r="390">
      <c r="C390" s="42"/>
      <c r="D390" s="42"/>
      <c r="E390" s="42"/>
      <c r="G390" s="42"/>
      <c r="H390" s="42"/>
    </row>
    <row r="391">
      <c r="C391" s="42"/>
      <c r="D391" s="42"/>
      <c r="E391" s="42"/>
      <c r="G391" s="42"/>
      <c r="H391" s="42"/>
    </row>
    <row r="392">
      <c r="C392" s="42"/>
      <c r="D392" s="42"/>
      <c r="E392" s="42"/>
      <c r="G392" s="42"/>
      <c r="H392" s="42"/>
    </row>
    <row r="393">
      <c r="C393" s="42"/>
      <c r="D393" s="42"/>
      <c r="E393" s="42"/>
      <c r="G393" s="42"/>
      <c r="H393" s="42"/>
    </row>
    <row r="394">
      <c r="C394" s="42"/>
      <c r="D394" s="42"/>
      <c r="E394" s="42"/>
      <c r="G394" s="42"/>
      <c r="H394" s="42"/>
    </row>
    <row r="395">
      <c r="C395" s="42"/>
      <c r="D395" s="42"/>
      <c r="E395" s="42"/>
      <c r="G395" s="42"/>
      <c r="H395" s="42"/>
    </row>
    <row r="396">
      <c r="C396" s="42"/>
      <c r="D396" s="42"/>
      <c r="E396" s="42"/>
      <c r="G396" s="42"/>
      <c r="H396" s="42"/>
    </row>
    <row r="397">
      <c r="C397" s="42"/>
      <c r="D397" s="42"/>
      <c r="E397" s="42"/>
      <c r="G397" s="42"/>
      <c r="H397" s="42"/>
    </row>
    <row r="398">
      <c r="C398" s="42"/>
      <c r="D398" s="42"/>
      <c r="E398" s="42"/>
      <c r="G398" s="42"/>
      <c r="H398" s="42"/>
    </row>
    <row r="399">
      <c r="C399" s="42"/>
      <c r="D399" s="42"/>
      <c r="E399" s="42"/>
      <c r="G399" s="42"/>
      <c r="H399" s="42"/>
    </row>
    <row r="400">
      <c r="C400" s="42"/>
      <c r="D400" s="42"/>
      <c r="E400" s="42"/>
      <c r="G400" s="42"/>
      <c r="H400" s="42"/>
    </row>
    <row r="401">
      <c r="C401" s="42"/>
      <c r="D401" s="42"/>
      <c r="E401" s="42"/>
      <c r="G401" s="42"/>
      <c r="H401" s="42"/>
    </row>
    <row r="402">
      <c r="C402" s="42"/>
      <c r="D402" s="42"/>
      <c r="E402" s="42"/>
      <c r="G402" s="42"/>
      <c r="H402" s="42"/>
    </row>
    <row r="403">
      <c r="C403" s="42"/>
      <c r="D403" s="42"/>
      <c r="E403" s="42"/>
      <c r="G403" s="42"/>
      <c r="H403" s="42"/>
    </row>
    <row r="404">
      <c r="C404" s="42"/>
      <c r="D404" s="42"/>
      <c r="E404" s="42"/>
      <c r="G404" s="42"/>
      <c r="H404" s="42"/>
    </row>
    <row r="405">
      <c r="C405" s="42"/>
      <c r="D405" s="42"/>
      <c r="E405" s="42"/>
      <c r="G405" s="42"/>
      <c r="H405" s="42"/>
    </row>
    <row r="406">
      <c r="C406" s="42"/>
      <c r="D406" s="42"/>
      <c r="E406" s="42"/>
      <c r="G406" s="42"/>
      <c r="H406" s="42"/>
    </row>
    <row r="407">
      <c r="C407" s="42"/>
      <c r="D407" s="42"/>
      <c r="E407" s="42"/>
      <c r="G407" s="42"/>
      <c r="H407" s="42"/>
    </row>
    <row r="408">
      <c r="C408" s="42"/>
      <c r="D408" s="42"/>
      <c r="E408" s="42"/>
      <c r="G408" s="42"/>
      <c r="H408" s="42"/>
    </row>
    <row r="409">
      <c r="C409" s="42"/>
      <c r="D409" s="42"/>
      <c r="E409" s="42"/>
      <c r="G409" s="42"/>
      <c r="H409" s="42"/>
    </row>
    <row r="410">
      <c r="C410" s="42"/>
      <c r="D410" s="42"/>
      <c r="E410" s="42"/>
      <c r="G410" s="42"/>
      <c r="H410" s="42"/>
    </row>
    <row r="411">
      <c r="C411" s="42"/>
      <c r="D411" s="42"/>
      <c r="E411" s="42"/>
      <c r="G411" s="42"/>
      <c r="H411" s="42"/>
    </row>
    <row r="412">
      <c r="C412" s="42"/>
      <c r="D412" s="42"/>
      <c r="E412" s="42"/>
      <c r="G412" s="42"/>
      <c r="H412" s="42"/>
    </row>
    <row r="413">
      <c r="C413" s="42"/>
      <c r="D413" s="42"/>
      <c r="E413" s="42"/>
      <c r="G413" s="42"/>
      <c r="H413" s="42"/>
    </row>
    <row r="414">
      <c r="C414" s="42"/>
      <c r="D414" s="42"/>
      <c r="E414" s="42"/>
      <c r="G414" s="42"/>
      <c r="H414" s="42"/>
    </row>
    <row r="415">
      <c r="C415" s="42"/>
      <c r="D415" s="42"/>
      <c r="E415" s="42"/>
      <c r="G415" s="42"/>
      <c r="H415" s="42"/>
    </row>
    <row r="416">
      <c r="C416" s="42"/>
      <c r="D416" s="42"/>
      <c r="E416" s="42"/>
      <c r="G416" s="42"/>
      <c r="H416" s="42"/>
    </row>
    <row r="417">
      <c r="C417" s="42"/>
      <c r="D417" s="42"/>
      <c r="E417" s="42"/>
      <c r="G417" s="42"/>
      <c r="H417" s="42"/>
    </row>
    <row r="418">
      <c r="C418" s="42"/>
      <c r="D418" s="42"/>
      <c r="E418" s="42"/>
      <c r="G418" s="42"/>
      <c r="H418" s="42"/>
    </row>
    <row r="419">
      <c r="C419" s="42"/>
      <c r="D419" s="42"/>
      <c r="E419" s="42"/>
      <c r="G419" s="42"/>
      <c r="H419" s="42"/>
    </row>
    <row r="420">
      <c r="C420" s="42"/>
      <c r="D420" s="42"/>
      <c r="E420" s="42"/>
      <c r="G420" s="42"/>
      <c r="H420" s="42"/>
    </row>
    <row r="421">
      <c r="C421" s="42"/>
      <c r="D421" s="42"/>
      <c r="E421" s="42"/>
      <c r="G421" s="42"/>
      <c r="H421" s="42"/>
    </row>
    <row r="422">
      <c r="C422" s="42"/>
      <c r="D422" s="42"/>
      <c r="E422" s="42"/>
      <c r="G422" s="42"/>
      <c r="H422" s="42"/>
    </row>
    <row r="423">
      <c r="C423" s="42"/>
      <c r="D423" s="42"/>
      <c r="E423" s="42"/>
      <c r="G423" s="42"/>
      <c r="H423" s="42"/>
    </row>
    <row r="424">
      <c r="C424" s="42"/>
      <c r="D424" s="42"/>
      <c r="E424" s="42"/>
      <c r="G424" s="42"/>
      <c r="H424" s="42"/>
    </row>
    <row r="425">
      <c r="C425" s="42"/>
      <c r="D425" s="42"/>
      <c r="E425" s="42"/>
      <c r="G425" s="42"/>
      <c r="H425" s="42"/>
    </row>
    <row r="426">
      <c r="C426" s="42"/>
      <c r="D426" s="42"/>
      <c r="E426" s="42"/>
      <c r="G426" s="42"/>
      <c r="H426" s="42"/>
    </row>
    <row r="427">
      <c r="C427" s="42"/>
      <c r="D427" s="42"/>
      <c r="E427" s="42"/>
      <c r="G427" s="42"/>
      <c r="H427" s="42"/>
    </row>
    <row r="428">
      <c r="C428" s="42"/>
      <c r="D428" s="42"/>
      <c r="E428" s="42"/>
      <c r="G428" s="42"/>
      <c r="H428" s="42"/>
    </row>
    <row r="429">
      <c r="C429" s="42"/>
      <c r="D429" s="42"/>
      <c r="E429" s="42"/>
      <c r="G429" s="42"/>
      <c r="H429" s="42"/>
    </row>
    <row r="430">
      <c r="C430" s="42"/>
      <c r="D430" s="42"/>
      <c r="E430" s="42"/>
      <c r="G430" s="42"/>
      <c r="H430" s="42"/>
    </row>
    <row r="431">
      <c r="C431" s="42"/>
      <c r="D431" s="42"/>
      <c r="E431" s="42"/>
      <c r="G431" s="42"/>
      <c r="H431" s="42"/>
    </row>
    <row r="432">
      <c r="C432" s="42"/>
      <c r="D432" s="42"/>
      <c r="E432" s="42"/>
      <c r="G432" s="42"/>
      <c r="H432" s="42"/>
    </row>
    <row r="433">
      <c r="C433" s="42"/>
      <c r="D433" s="42"/>
      <c r="E433" s="42"/>
      <c r="G433" s="42"/>
      <c r="H433" s="42"/>
    </row>
    <row r="434">
      <c r="C434" s="42"/>
      <c r="D434" s="42"/>
      <c r="E434" s="42"/>
      <c r="G434" s="42"/>
      <c r="H434" s="42"/>
    </row>
    <row r="435">
      <c r="C435" s="42"/>
      <c r="D435" s="42"/>
      <c r="E435" s="42"/>
      <c r="G435" s="42"/>
      <c r="H435" s="42"/>
    </row>
    <row r="436">
      <c r="C436" s="42"/>
      <c r="D436" s="42"/>
      <c r="E436" s="42"/>
      <c r="G436" s="42"/>
      <c r="H436" s="42"/>
    </row>
    <row r="437">
      <c r="C437" s="42"/>
      <c r="D437" s="42"/>
      <c r="E437" s="42"/>
      <c r="G437" s="42"/>
      <c r="H437" s="42"/>
    </row>
    <row r="438">
      <c r="C438" s="42"/>
      <c r="D438" s="42"/>
      <c r="E438" s="42"/>
      <c r="G438" s="42"/>
      <c r="H438" s="42"/>
    </row>
    <row r="439">
      <c r="C439" s="42"/>
      <c r="D439" s="42"/>
      <c r="E439" s="42"/>
      <c r="G439" s="42"/>
      <c r="H439" s="42"/>
    </row>
    <row r="440">
      <c r="C440" s="42"/>
      <c r="D440" s="42"/>
      <c r="E440" s="42"/>
      <c r="G440" s="42"/>
      <c r="H440" s="42"/>
    </row>
    <row r="441">
      <c r="C441" s="42"/>
      <c r="D441" s="42"/>
      <c r="E441" s="42"/>
      <c r="G441" s="42"/>
      <c r="H441" s="42"/>
    </row>
    <row r="442">
      <c r="C442" s="42"/>
      <c r="D442" s="42"/>
      <c r="E442" s="42"/>
      <c r="G442" s="42"/>
      <c r="H442" s="42"/>
    </row>
    <row r="443">
      <c r="C443" s="42"/>
      <c r="D443" s="42"/>
      <c r="E443" s="42"/>
      <c r="G443" s="42"/>
      <c r="H443" s="42"/>
    </row>
    <row r="444">
      <c r="C444" s="42"/>
      <c r="D444" s="42"/>
      <c r="E444" s="42"/>
      <c r="G444" s="42"/>
      <c r="H444" s="42"/>
    </row>
    <row r="445">
      <c r="C445" s="42"/>
      <c r="D445" s="42"/>
      <c r="E445" s="42"/>
      <c r="G445" s="42"/>
      <c r="H445" s="42"/>
    </row>
    <row r="446">
      <c r="C446" s="42"/>
      <c r="D446" s="42"/>
      <c r="E446" s="42"/>
      <c r="G446" s="42"/>
      <c r="H446" s="42"/>
    </row>
    <row r="447">
      <c r="C447" s="42"/>
      <c r="D447" s="42"/>
      <c r="E447" s="42"/>
      <c r="G447" s="42"/>
      <c r="H447" s="42"/>
    </row>
    <row r="448">
      <c r="C448" s="42"/>
      <c r="D448" s="42"/>
      <c r="E448" s="42"/>
      <c r="G448" s="42"/>
      <c r="H448" s="42"/>
    </row>
    <row r="449">
      <c r="C449" s="42"/>
      <c r="D449" s="42"/>
      <c r="E449" s="42"/>
      <c r="G449" s="42"/>
      <c r="H449" s="42"/>
    </row>
    <row r="450">
      <c r="C450" s="42"/>
      <c r="D450" s="42"/>
      <c r="E450" s="42"/>
      <c r="G450" s="42"/>
      <c r="H450" s="42"/>
    </row>
    <row r="451">
      <c r="C451" s="42"/>
      <c r="D451" s="42"/>
      <c r="E451" s="42"/>
      <c r="G451" s="42"/>
      <c r="H451" s="42"/>
    </row>
    <row r="452">
      <c r="C452" s="42"/>
      <c r="D452" s="42"/>
      <c r="E452" s="42"/>
      <c r="G452" s="42"/>
      <c r="H452" s="42"/>
    </row>
    <row r="453">
      <c r="C453" s="42"/>
      <c r="D453" s="42"/>
      <c r="E453" s="42"/>
      <c r="G453" s="42"/>
      <c r="H453" s="42"/>
    </row>
    <row r="454">
      <c r="C454" s="42"/>
      <c r="D454" s="42"/>
      <c r="E454" s="42"/>
      <c r="G454" s="42"/>
      <c r="H454" s="42"/>
    </row>
    <row r="455">
      <c r="C455" s="42"/>
      <c r="D455" s="42"/>
      <c r="E455" s="42"/>
      <c r="G455" s="42"/>
      <c r="H455" s="42"/>
    </row>
    <row r="456">
      <c r="C456" s="42"/>
      <c r="D456" s="42"/>
      <c r="E456" s="42"/>
      <c r="G456" s="42"/>
      <c r="H456" s="42"/>
    </row>
    <row r="457">
      <c r="C457" s="42"/>
      <c r="D457" s="42"/>
      <c r="E457" s="42"/>
      <c r="G457" s="42"/>
      <c r="H457" s="42"/>
    </row>
    <row r="458">
      <c r="C458" s="42"/>
      <c r="D458" s="42"/>
      <c r="E458" s="42"/>
      <c r="G458" s="42"/>
      <c r="H458" s="42"/>
    </row>
    <row r="459">
      <c r="C459" s="42"/>
      <c r="D459" s="42"/>
      <c r="E459" s="42"/>
      <c r="G459" s="42"/>
      <c r="H459" s="42"/>
    </row>
    <row r="460">
      <c r="C460" s="42"/>
      <c r="D460" s="42"/>
      <c r="E460" s="42"/>
      <c r="G460" s="42"/>
      <c r="H460" s="42"/>
    </row>
    <row r="461">
      <c r="C461" s="42"/>
      <c r="D461" s="42"/>
      <c r="E461" s="42"/>
      <c r="G461" s="42"/>
      <c r="H461" s="42"/>
    </row>
    <row r="462">
      <c r="C462" s="42"/>
      <c r="D462" s="42"/>
      <c r="E462" s="42"/>
      <c r="G462" s="42"/>
      <c r="H462" s="42"/>
    </row>
    <row r="463">
      <c r="C463" s="42"/>
      <c r="D463" s="42"/>
      <c r="E463" s="42"/>
      <c r="G463" s="42"/>
      <c r="H463" s="42"/>
    </row>
    <row r="464">
      <c r="C464" s="42"/>
      <c r="D464" s="42"/>
      <c r="E464" s="42"/>
      <c r="G464" s="42"/>
      <c r="H464" s="42"/>
    </row>
    <row r="465">
      <c r="C465" s="42"/>
      <c r="D465" s="42"/>
      <c r="E465" s="42"/>
      <c r="G465" s="42"/>
      <c r="H465" s="42"/>
    </row>
    <row r="466">
      <c r="C466" s="42"/>
      <c r="D466" s="42"/>
      <c r="E466" s="42"/>
      <c r="G466" s="42"/>
      <c r="H466" s="42"/>
    </row>
    <row r="467">
      <c r="C467" s="42"/>
      <c r="D467" s="42"/>
      <c r="E467" s="42"/>
      <c r="G467" s="42"/>
      <c r="H467" s="42"/>
    </row>
    <row r="468">
      <c r="C468" s="42"/>
      <c r="D468" s="42"/>
      <c r="E468" s="42"/>
      <c r="G468" s="42"/>
      <c r="H468" s="42"/>
    </row>
    <row r="469">
      <c r="C469" s="42"/>
      <c r="D469" s="42"/>
      <c r="E469" s="42"/>
      <c r="G469" s="42"/>
      <c r="H469" s="42"/>
    </row>
    <row r="470">
      <c r="C470" s="42"/>
      <c r="D470" s="42"/>
      <c r="E470" s="42"/>
      <c r="G470" s="42"/>
      <c r="H470" s="42"/>
    </row>
    <row r="471">
      <c r="C471" s="42"/>
      <c r="D471" s="42"/>
      <c r="E471" s="42"/>
      <c r="G471" s="42"/>
      <c r="H471" s="42"/>
    </row>
    <row r="472">
      <c r="C472" s="42"/>
      <c r="D472" s="42"/>
      <c r="E472" s="42"/>
      <c r="G472" s="42"/>
      <c r="H472" s="42"/>
    </row>
    <row r="473">
      <c r="C473" s="42"/>
      <c r="D473" s="42"/>
      <c r="E473" s="42"/>
      <c r="G473" s="42"/>
      <c r="H473" s="42"/>
    </row>
    <row r="474">
      <c r="C474" s="42"/>
      <c r="D474" s="42"/>
      <c r="E474" s="42"/>
      <c r="G474" s="42"/>
      <c r="H474" s="42"/>
    </row>
    <row r="475">
      <c r="C475" s="42"/>
      <c r="D475" s="42"/>
      <c r="E475" s="42"/>
      <c r="G475" s="42"/>
      <c r="H475" s="42"/>
    </row>
    <row r="476">
      <c r="C476" s="42"/>
      <c r="D476" s="42"/>
      <c r="E476" s="42"/>
      <c r="G476" s="42"/>
      <c r="H476" s="42"/>
    </row>
    <row r="477">
      <c r="C477" s="42"/>
      <c r="D477" s="42"/>
      <c r="E477" s="42"/>
      <c r="G477" s="42"/>
      <c r="H477" s="42"/>
    </row>
    <row r="478">
      <c r="C478" s="42"/>
      <c r="D478" s="42"/>
      <c r="E478" s="42"/>
      <c r="G478" s="42"/>
      <c r="H478" s="42"/>
    </row>
    <row r="479">
      <c r="C479" s="42"/>
      <c r="D479" s="42"/>
      <c r="E479" s="42"/>
      <c r="G479" s="42"/>
      <c r="H479" s="42"/>
    </row>
    <row r="480">
      <c r="C480" s="42"/>
      <c r="D480" s="42"/>
      <c r="E480" s="42"/>
      <c r="G480" s="42"/>
      <c r="H480" s="42"/>
    </row>
    <row r="481">
      <c r="C481" s="42"/>
      <c r="D481" s="42"/>
      <c r="E481" s="42"/>
      <c r="G481" s="42"/>
      <c r="H481" s="42"/>
    </row>
    <row r="482">
      <c r="C482" s="42"/>
      <c r="D482" s="42"/>
      <c r="E482" s="42"/>
      <c r="G482" s="42"/>
      <c r="H482" s="42"/>
    </row>
    <row r="483">
      <c r="C483" s="42"/>
      <c r="D483" s="42"/>
      <c r="E483" s="42"/>
      <c r="G483" s="42"/>
      <c r="H483" s="42"/>
    </row>
    <row r="484">
      <c r="C484" s="42"/>
      <c r="D484" s="42"/>
      <c r="E484" s="42"/>
      <c r="G484" s="42"/>
      <c r="H484" s="42"/>
    </row>
    <row r="485">
      <c r="C485" s="42"/>
      <c r="D485" s="42"/>
      <c r="E485" s="42"/>
      <c r="G485" s="42"/>
      <c r="H485" s="42"/>
    </row>
    <row r="486">
      <c r="C486" s="42"/>
      <c r="D486" s="42"/>
      <c r="E486" s="42"/>
      <c r="G486" s="42"/>
      <c r="H486" s="42"/>
    </row>
    <row r="487">
      <c r="C487" s="42"/>
      <c r="D487" s="42"/>
      <c r="E487" s="42"/>
      <c r="G487" s="42"/>
      <c r="H487" s="42"/>
    </row>
    <row r="488">
      <c r="C488" s="42"/>
      <c r="D488" s="42"/>
      <c r="E488" s="42"/>
      <c r="G488" s="42"/>
      <c r="H488" s="42"/>
    </row>
    <row r="489">
      <c r="C489" s="42"/>
      <c r="D489" s="42"/>
      <c r="E489" s="42"/>
      <c r="G489" s="42"/>
      <c r="H489" s="42"/>
    </row>
    <row r="490">
      <c r="C490" s="42"/>
      <c r="D490" s="42"/>
      <c r="E490" s="42"/>
      <c r="G490" s="42"/>
      <c r="H490" s="42"/>
    </row>
    <row r="491">
      <c r="C491" s="42"/>
      <c r="D491" s="42"/>
      <c r="E491" s="42"/>
      <c r="G491" s="42"/>
      <c r="H491" s="42"/>
    </row>
    <row r="492">
      <c r="C492" s="42"/>
      <c r="D492" s="42"/>
      <c r="E492" s="42"/>
      <c r="G492" s="42"/>
      <c r="H492" s="42"/>
    </row>
    <row r="493">
      <c r="C493" s="42"/>
      <c r="D493" s="42"/>
      <c r="E493" s="42"/>
      <c r="G493" s="42"/>
      <c r="H493" s="42"/>
    </row>
    <row r="494">
      <c r="C494" s="42"/>
      <c r="D494" s="42"/>
      <c r="E494" s="42"/>
      <c r="G494" s="42"/>
      <c r="H494" s="42"/>
    </row>
    <row r="495">
      <c r="C495" s="42"/>
      <c r="D495" s="42"/>
      <c r="E495" s="42"/>
      <c r="G495" s="42"/>
      <c r="H495" s="42"/>
    </row>
    <row r="496">
      <c r="C496" s="42"/>
      <c r="D496" s="42"/>
      <c r="E496" s="42"/>
      <c r="G496" s="42"/>
      <c r="H496" s="42"/>
    </row>
    <row r="497">
      <c r="C497" s="42"/>
      <c r="D497" s="42"/>
      <c r="E497" s="42"/>
      <c r="G497" s="42"/>
      <c r="H497" s="42"/>
    </row>
    <row r="498">
      <c r="C498" s="42"/>
      <c r="D498" s="42"/>
      <c r="E498" s="42"/>
      <c r="G498" s="42"/>
      <c r="H498" s="42"/>
    </row>
    <row r="499">
      <c r="C499" s="42"/>
      <c r="D499" s="42"/>
      <c r="E499" s="42"/>
      <c r="G499" s="42"/>
      <c r="H499" s="42"/>
    </row>
    <row r="500">
      <c r="C500" s="42"/>
      <c r="D500" s="42"/>
      <c r="E500" s="42"/>
      <c r="G500" s="42"/>
      <c r="H500" s="42"/>
    </row>
    <row r="501">
      <c r="C501" s="42"/>
      <c r="D501" s="42"/>
      <c r="E501" s="42"/>
      <c r="G501" s="42"/>
      <c r="H501" s="42"/>
    </row>
    <row r="502">
      <c r="C502" s="42"/>
      <c r="D502" s="42"/>
      <c r="E502" s="42"/>
      <c r="G502" s="42"/>
      <c r="H502" s="42"/>
    </row>
    <row r="503">
      <c r="C503" s="42"/>
      <c r="D503" s="42"/>
      <c r="E503" s="42"/>
      <c r="G503" s="42"/>
      <c r="H503" s="42"/>
    </row>
    <row r="504">
      <c r="C504" s="42"/>
      <c r="D504" s="42"/>
      <c r="E504" s="42"/>
      <c r="G504" s="42"/>
      <c r="H504" s="42"/>
    </row>
    <row r="505">
      <c r="C505" s="42"/>
      <c r="D505" s="42"/>
      <c r="E505" s="42"/>
      <c r="G505" s="42"/>
      <c r="H505" s="42"/>
    </row>
    <row r="506">
      <c r="C506" s="42"/>
      <c r="D506" s="42"/>
      <c r="E506" s="42"/>
      <c r="G506" s="42"/>
      <c r="H506" s="42"/>
    </row>
    <row r="507">
      <c r="C507" s="42"/>
      <c r="D507" s="42"/>
      <c r="E507" s="42"/>
      <c r="G507" s="42"/>
      <c r="H507" s="42"/>
    </row>
    <row r="508">
      <c r="C508" s="42"/>
      <c r="D508" s="42"/>
      <c r="E508" s="42"/>
      <c r="G508" s="42"/>
      <c r="H508" s="42"/>
    </row>
    <row r="509">
      <c r="C509" s="42"/>
      <c r="D509" s="42"/>
      <c r="E509" s="42"/>
      <c r="G509" s="42"/>
      <c r="H509" s="42"/>
    </row>
    <row r="510">
      <c r="C510" s="42"/>
      <c r="D510" s="42"/>
      <c r="E510" s="42"/>
      <c r="G510" s="42"/>
      <c r="H510" s="42"/>
    </row>
    <row r="511">
      <c r="C511" s="42"/>
      <c r="D511" s="42"/>
      <c r="E511" s="42"/>
      <c r="G511" s="42"/>
      <c r="H511" s="42"/>
    </row>
    <row r="512">
      <c r="C512" s="42"/>
      <c r="D512" s="42"/>
      <c r="E512" s="42"/>
      <c r="G512" s="42"/>
      <c r="H512" s="42"/>
    </row>
    <row r="513">
      <c r="C513" s="42"/>
      <c r="D513" s="42"/>
      <c r="E513" s="42"/>
      <c r="G513" s="42"/>
      <c r="H513" s="42"/>
    </row>
    <row r="514">
      <c r="C514" s="42"/>
      <c r="D514" s="42"/>
      <c r="E514" s="42"/>
      <c r="G514" s="42"/>
      <c r="H514" s="42"/>
    </row>
    <row r="515">
      <c r="C515" s="42"/>
      <c r="D515" s="42"/>
      <c r="E515" s="42"/>
      <c r="G515" s="42"/>
      <c r="H515" s="42"/>
    </row>
    <row r="516">
      <c r="C516" s="42"/>
      <c r="D516" s="42"/>
      <c r="E516" s="42"/>
      <c r="G516" s="42"/>
      <c r="H516" s="42"/>
    </row>
    <row r="517">
      <c r="C517" s="42"/>
      <c r="D517" s="42"/>
      <c r="E517" s="42"/>
      <c r="G517" s="42"/>
      <c r="H517" s="42"/>
    </row>
    <row r="518">
      <c r="C518" s="42"/>
      <c r="D518" s="42"/>
      <c r="E518" s="42"/>
      <c r="G518" s="42"/>
      <c r="H518" s="42"/>
    </row>
    <row r="519">
      <c r="C519" s="42"/>
      <c r="D519" s="42"/>
      <c r="E519" s="42"/>
      <c r="G519" s="42"/>
      <c r="H519" s="42"/>
    </row>
    <row r="520">
      <c r="C520" s="42"/>
      <c r="D520" s="42"/>
      <c r="E520" s="42"/>
      <c r="G520" s="42"/>
      <c r="H520" s="42"/>
    </row>
    <row r="521">
      <c r="C521" s="42"/>
      <c r="D521" s="42"/>
      <c r="E521" s="42"/>
      <c r="G521" s="42"/>
      <c r="H521" s="42"/>
    </row>
    <row r="522">
      <c r="C522" s="42"/>
      <c r="D522" s="42"/>
      <c r="E522" s="42"/>
      <c r="G522" s="42"/>
      <c r="H522" s="42"/>
    </row>
    <row r="523">
      <c r="C523" s="42"/>
      <c r="D523" s="42"/>
      <c r="E523" s="42"/>
      <c r="G523" s="42"/>
      <c r="H523" s="42"/>
    </row>
    <row r="524">
      <c r="C524" s="42"/>
      <c r="D524" s="42"/>
      <c r="E524" s="42"/>
      <c r="G524" s="42"/>
      <c r="H524" s="42"/>
    </row>
    <row r="525">
      <c r="C525" s="42"/>
      <c r="D525" s="42"/>
      <c r="E525" s="42"/>
      <c r="G525" s="42"/>
      <c r="H525" s="42"/>
    </row>
    <row r="526">
      <c r="C526" s="42"/>
      <c r="D526" s="42"/>
      <c r="E526" s="42"/>
      <c r="G526" s="42"/>
      <c r="H526" s="42"/>
    </row>
    <row r="527">
      <c r="C527" s="42"/>
      <c r="D527" s="42"/>
      <c r="E527" s="42"/>
      <c r="G527" s="42"/>
      <c r="H527" s="42"/>
    </row>
    <row r="528">
      <c r="C528" s="42"/>
      <c r="D528" s="42"/>
      <c r="E528" s="42"/>
      <c r="G528" s="42"/>
      <c r="H528" s="42"/>
    </row>
    <row r="529">
      <c r="C529" s="42"/>
      <c r="D529" s="42"/>
      <c r="E529" s="42"/>
      <c r="G529" s="42"/>
      <c r="H529" s="42"/>
    </row>
    <row r="530">
      <c r="C530" s="42"/>
      <c r="D530" s="42"/>
      <c r="E530" s="42"/>
      <c r="G530" s="42"/>
      <c r="H530" s="42"/>
    </row>
    <row r="531">
      <c r="C531" s="42"/>
      <c r="D531" s="42"/>
      <c r="E531" s="42"/>
      <c r="G531" s="42"/>
      <c r="H531" s="42"/>
    </row>
    <row r="532">
      <c r="C532" s="42"/>
      <c r="D532" s="42"/>
      <c r="E532" s="42"/>
      <c r="G532" s="42"/>
      <c r="H532" s="42"/>
    </row>
    <row r="533">
      <c r="C533" s="42"/>
      <c r="D533" s="42"/>
      <c r="E533" s="42"/>
      <c r="G533" s="42"/>
      <c r="H533" s="42"/>
    </row>
    <row r="534">
      <c r="C534" s="42"/>
      <c r="D534" s="42"/>
      <c r="E534" s="42"/>
      <c r="G534" s="42"/>
      <c r="H534" s="42"/>
    </row>
    <row r="535">
      <c r="C535" s="42"/>
      <c r="D535" s="42"/>
      <c r="E535" s="42"/>
      <c r="G535" s="42"/>
      <c r="H535" s="42"/>
    </row>
    <row r="536">
      <c r="C536" s="42"/>
      <c r="D536" s="42"/>
      <c r="E536" s="42"/>
      <c r="G536" s="42"/>
      <c r="H536" s="42"/>
    </row>
    <row r="537">
      <c r="C537" s="42"/>
      <c r="D537" s="42"/>
      <c r="E537" s="42"/>
      <c r="G537" s="42"/>
      <c r="H537" s="42"/>
    </row>
    <row r="538">
      <c r="C538" s="42"/>
      <c r="D538" s="42"/>
      <c r="E538" s="42"/>
      <c r="G538" s="42"/>
      <c r="H538" s="42"/>
    </row>
    <row r="539">
      <c r="C539" s="42"/>
      <c r="D539" s="42"/>
      <c r="E539" s="42"/>
      <c r="G539" s="42"/>
      <c r="H539" s="42"/>
    </row>
    <row r="540">
      <c r="C540" s="42"/>
      <c r="D540" s="42"/>
      <c r="E540" s="42"/>
      <c r="G540" s="42"/>
      <c r="H540" s="42"/>
    </row>
    <row r="541">
      <c r="C541" s="42"/>
      <c r="D541" s="42"/>
      <c r="E541" s="42"/>
      <c r="G541" s="42"/>
      <c r="H541" s="42"/>
    </row>
    <row r="542">
      <c r="C542" s="42"/>
      <c r="D542" s="42"/>
      <c r="E542" s="42"/>
      <c r="G542" s="42"/>
      <c r="H542" s="42"/>
    </row>
    <row r="543">
      <c r="C543" s="42"/>
      <c r="D543" s="42"/>
      <c r="E543" s="42"/>
      <c r="G543" s="42"/>
      <c r="H543" s="42"/>
    </row>
    <row r="544">
      <c r="C544" s="42"/>
      <c r="D544" s="42"/>
      <c r="E544" s="42"/>
      <c r="G544" s="42"/>
      <c r="H544" s="42"/>
    </row>
    <row r="545">
      <c r="C545" s="42"/>
      <c r="D545" s="42"/>
      <c r="E545" s="42"/>
      <c r="G545" s="42"/>
      <c r="H545" s="42"/>
    </row>
    <row r="546">
      <c r="C546" s="42"/>
      <c r="D546" s="42"/>
      <c r="E546" s="42"/>
      <c r="G546" s="42"/>
      <c r="H546" s="42"/>
    </row>
    <row r="547">
      <c r="C547" s="42"/>
      <c r="D547" s="42"/>
      <c r="E547" s="42"/>
      <c r="G547" s="42"/>
      <c r="H547" s="42"/>
    </row>
    <row r="548">
      <c r="C548" s="42"/>
      <c r="D548" s="42"/>
      <c r="E548" s="42"/>
      <c r="G548" s="42"/>
      <c r="H548" s="42"/>
    </row>
    <row r="549">
      <c r="C549" s="42"/>
      <c r="D549" s="42"/>
      <c r="E549" s="42"/>
      <c r="G549" s="42"/>
      <c r="H549" s="42"/>
    </row>
    <row r="550">
      <c r="C550" s="42"/>
      <c r="D550" s="42"/>
      <c r="E550" s="42"/>
      <c r="G550" s="42"/>
      <c r="H550" s="42"/>
    </row>
    <row r="551">
      <c r="C551" s="42"/>
      <c r="D551" s="42"/>
      <c r="E551" s="42"/>
      <c r="G551" s="42"/>
      <c r="H551" s="42"/>
    </row>
    <row r="552">
      <c r="C552" s="42"/>
      <c r="D552" s="42"/>
      <c r="E552" s="42"/>
      <c r="G552" s="42"/>
      <c r="H552" s="42"/>
    </row>
    <row r="553">
      <c r="C553" s="42"/>
      <c r="D553" s="42"/>
      <c r="E553" s="42"/>
      <c r="G553" s="42"/>
      <c r="H553" s="42"/>
    </row>
    <row r="554">
      <c r="C554" s="42"/>
      <c r="D554" s="42"/>
      <c r="E554" s="42"/>
      <c r="G554" s="42"/>
      <c r="H554" s="42"/>
    </row>
    <row r="555">
      <c r="C555" s="42"/>
      <c r="D555" s="42"/>
      <c r="E555" s="42"/>
      <c r="G555" s="42"/>
      <c r="H555" s="42"/>
    </row>
    <row r="556">
      <c r="C556" s="42"/>
      <c r="D556" s="42"/>
      <c r="E556" s="42"/>
      <c r="G556" s="42"/>
      <c r="H556" s="42"/>
    </row>
    <row r="557">
      <c r="C557" s="42"/>
      <c r="D557" s="42"/>
      <c r="E557" s="42"/>
      <c r="G557" s="42"/>
      <c r="H557" s="42"/>
    </row>
    <row r="558">
      <c r="C558" s="42"/>
      <c r="D558" s="42"/>
      <c r="E558" s="42"/>
      <c r="G558" s="42"/>
      <c r="H558" s="42"/>
    </row>
    <row r="559">
      <c r="C559" s="42"/>
      <c r="D559" s="42"/>
      <c r="E559" s="42"/>
      <c r="G559" s="42"/>
      <c r="H559" s="42"/>
    </row>
    <row r="560">
      <c r="C560" s="42"/>
      <c r="D560" s="42"/>
      <c r="E560" s="42"/>
      <c r="G560" s="42"/>
      <c r="H560" s="42"/>
    </row>
    <row r="561">
      <c r="C561" s="42"/>
      <c r="D561" s="42"/>
      <c r="E561" s="42"/>
      <c r="G561" s="42"/>
      <c r="H561" s="42"/>
    </row>
    <row r="562">
      <c r="C562" s="42"/>
      <c r="D562" s="42"/>
      <c r="E562" s="42"/>
      <c r="G562" s="42"/>
      <c r="H562" s="42"/>
    </row>
    <row r="563">
      <c r="C563" s="42"/>
      <c r="D563" s="42"/>
      <c r="E563" s="42"/>
      <c r="G563" s="42"/>
      <c r="H563" s="42"/>
    </row>
    <row r="564">
      <c r="C564" s="42"/>
      <c r="D564" s="42"/>
      <c r="E564" s="42"/>
      <c r="G564" s="42"/>
      <c r="H564" s="42"/>
    </row>
    <row r="565">
      <c r="C565" s="42"/>
      <c r="D565" s="42"/>
      <c r="E565" s="42"/>
      <c r="G565" s="42"/>
      <c r="H565" s="42"/>
    </row>
    <row r="566">
      <c r="C566" s="42"/>
      <c r="D566" s="42"/>
      <c r="E566" s="42"/>
      <c r="G566" s="42"/>
      <c r="H566" s="42"/>
    </row>
    <row r="567">
      <c r="C567" s="42"/>
      <c r="D567" s="42"/>
      <c r="E567" s="42"/>
      <c r="G567" s="42"/>
      <c r="H567" s="42"/>
    </row>
    <row r="568">
      <c r="C568" s="42"/>
      <c r="D568" s="42"/>
      <c r="E568" s="42"/>
      <c r="G568" s="42"/>
      <c r="H568" s="42"/>
    </row>
    <row r="569">
      <c r="C569" s="42"/>
      <c r="D569" s="42"/>
      <c r="E569" s="42"/>
      <c r="G569" s="42"/>
      <c r="H569" s="42"/>
    </row>
    <row r="570">
      <c r="C570" s="42"/>
      <c r="D570" s="42"/>
      <c r="E570" s="42"/>
      <c r="G570" s="42"/>
      <c r="H570" s="42"/>
    </row>
    <row r="571">
      <c r="C571" s="42"/>
      <c r="D571" s="42"/>
      <c r="E571" s="42"/>
      <c r="G571" s="42"/>
      <c r="H571" s="42"/>
    </row>
    <row r="572">
      <c r="C572" s="42"/>
      <c r="D572" s="42"/>
      <c r="E572" s="42"/>
      <c r="G572" s="42"/>
      <c r="H572" s="42"/>
    </row>
    <row r="573">
      <c r="C573" s="42"/>
      <c r="D573" s="42"/>
      <c r="E573" s="42"/>
      <c r="G573" s="42"/>
      <c r="H573" s="42"/>
    </row>
    <row r="574">
      <c r="C574" s="42"/>
      <c r="D574" s="42"/>
      <c r="E574" s="42"/>
      <c r="G574" s="42"/>
      <c r="H574" s="42"/>
    </row>
    <row r="575">
      <c r="C575" s="42"/>
      <c r="D575" s="42"/>
      <c r="E575" s="42"/>
      <c r="G575" s="42"/>
      <c r="H575" s="42"/>
    </row>
    <row r="576">
      <c r="C576" s="42"/>
      <c r="D576" s="42"/>
      <c r="E576" s="42"/>
      <c r="G576" s="42"/>
      <c r="H576" s="42"/>
    </row>
    <row r="577">
      <c r="C577" s="42"/>
      <c r="D577" s="42"/>
      <c r="E577" s="42"/>
      <c r="G577" s="42"/>
      <c r="H577" s="42"/>
    </row>
    <row r="578">
      <c r="C578" s="42"/>
      <c r="D578" s="42"/>
      <c r="E578" s="42"/>
      <c r="G578" s="42"/>
      <c r="H578" s="42"/>
    </row>
    <row r="579">
      <c r="C579" s="42"/>
      <c r="D579" s="42"/>
      <c r="E579" s="42"/>
      <c r="G579" s="42"/>
      <c r="H579" s="42"/>
    </row>
    <row r="580">
      <c r="C580" s="42"/>
      <c r="D580" s="42"/>
      <c r="E580" s="42"/>
      <c r="G580" s="42"/>
      <c r="H580" s="42"/>
    </row>
    <row r="581">
      <c r="C581" s="42"/>
      <c r="D581" s="42"/>
      <c r="E581" s="42"/>
      <c r="G581" s="42"/>
      <c r="H581" s="42"/>
    </row>
    <row r="582">
      <c r="C582" s="42"/>
      <c r="D582" s="42"/>
      <c r="E582" s="42"/>
      <c r="G582" s="42"/>
      <c r="H582" s="42"/>
    </row>
    <row r="583">
      <c r="C583" s="42"/>
      <c r="D583" s="42"/>
      <c r="E583" s="42"/>
      <c r="G583" s="42"/>
      <c r="H583" s="42"/>
    </row>
    <row r="584">
      <c r="C584" s="42"/>
      <c r="D584" s="42"/>
      <c r="E584" s="42"/>
      <c r="G584" s="42"/>
      <c r="H584" s="42"/>
    </row>
    <row r="585">
      <c r="C585" s="42"/>
      <c r="D585" s="42"/>
      <c r="E585" s="42"/>
      <c r="G585" s="42"/>
      <c r="H585" s="42"/>
    </row>
    <row r="586">
      <c r="C586" s="42"/>
      <c r="D586" s="42"/>
      <c r="E586" s="42"/>
      <c r="G586" s="42"/>
      <c r="H586" s="42"/>
    </row>
    <row r="587">
      <c r="C587" s="42"/>
      <c r="D587" s="42"/>
      <c r="E587" s="42"/>
      <c r="G587" s="42"/>
      <c r="H587" s="42"/>
    </row>
    <row r="588">
      <c r="C588" s="42"/>
      <c r="D588" s="42"/>
      <c r="E588" s="42"/>
      <c r="G588" s="42"/>
      <c r="H588" s="42"/>
    </row>
    <row r="589">
      <c r="C589" s="42"/>
      <c r="D589" s="42"/>
      <c r="E589" s="42"/>
      <c r="G589" s="42"/>
      <c r="H589" s="42"/>
    </row>
    <row r="590">
      <c r="C590" s="42"/>
      <c r="D590" s="42"/>
      <c r="E590" s="42"/>
      <c r="G590" s="42"/>
      <c r="H590" s="42"/>
    </row>
    <row r="591">
      <c r="C591" s="42"/>
      <c r="D591" s="42"/>
      <c r="E591" s="42"/>
      <c r="G591" s="42"/>
      <c r="H591" s="42"/>
    </row>
    <row r="592">
      <c r="C592" s="42"/>
      <c r="D592" s="42"/>
      <c r="E592" s="42"/>
      <c r="G592" s="42"/>
      <c r="H592" s="42"/>
    </row>
    <row r="593">
      <c r="C593" s="42"/>
      <c r="D593" s="42"/>
      <c r="E593" s="42"/>
      <c r="G593" s="42"/>
      <c r="H593" s="42"/>
    </row>
    <row r="594">
      <c r="C594" s="42"/>
      <c r="D594" s="42"/>
      <c r="E594" s="42"/>
      <c r="G594" s="42"/>
      <c r="H594" s="42"/>
    </row>
    <row r="595">
      <c r="C595" s="42"/>
      <c r="D595" s="42"/>
      <c r="E595" s="42"/>
      <c r="G595" s="42"/>
      <c r="H595" s="42"/>
    </row>
    <row r="596">
      <c r="C596" s="42"/>
      <c r="D596" s="42"/>
      <c r="E596" s="42"/>
      <c r="G596" s="42"/>
      <c r="H596" s="42"/>
    </row>
    <row r="597">
      <c r="C597" s="42"/>
      <c r="D597" s="42"/>
      <c r="E597" s="42"/>
      <c r="G597" s="42"/>
      <c r="H597" s="42"/>
    </row>
    <row r="598">
      <c r="C598" s="42"/>
      <c r="D598" s="42"/>
      <c r="E598" s="42"/>
      <c r="G598" s="42"/>
      <c r="H598" s="42"/>
    </row>
    <row r="599">
      <c r="C599" s="42"/>
      <c r="D599" s="42"/>
      <c r="E599" s="42"/>
      <c r="G599" s="42"/>
      <c r="H599" s="42"/>
    </row>
    <row r="600">
      <c r="C600" s="42"/>
      <c r="D600" s="42"/>
      <c r="E600" s="42"/>
      <c r="G600" s="42"/>
      <c r="H600" s="42"/>
    </row>
    <row r="601">
      <c r="C601" s="42"/>
      <c r="D601" s="42"/>
      <c r="E601" s="42"/>
      <c r="G601" s="42"/>
      <c r="H601" s="42"/>
    </row>
    <row r="602">
      <c r="C602" s="42"/>
      <c r="D602" s="42"/>
      <c r="E602" s="42"/>
      <c r="G602" s="42"/>
      <c r="H602" s="42"/>
    </row>
    <row r="603">
      <c r="C603" s="42"/>
      <c r="D603" s="42"/>
      <c r="E603" s="42"/>
      <c r="G603" s="42"/>
      <c r="H603" s="42"/>
    </row>
    <row r="604">
      <c r="C604" s="42"/>
      <c r="D604" s="42"/>
      <c r="E604" s="42"/>
      <c r="G604" s="42"/>
      <c r="H604" s="42"/>
    </row>
    <row r="605">
      <c r="C605" s="42"/>
      <c r="D605" s="42"/>
      <c r="E605" s="42"/>
      <c r="G605" s="42"/>
      <c r="H605" s="42"/>
    </row>
    <row r="606">
      <c r="C606" s="42"/>
      <c r="D606" s="42"/>
      <c r="E606" s="42"/>
      <c r="G606" s="42"/>
      <c r="H606" s="42"/>
    </row>
    <row r="607">
      <c r="C607" s="42"/>
      <c r="D607" s="42"/>
      <c r="E607" s="42"/>
      <c r="G607" s="42"/>
      <c r="H607" s="42"/>
    </row>
    <row r="608">
      <c r="C608" s="42"/>
      <c r="D608" s="42"/>
      <c r="E608" s="42"/>
      <c r="G608" s="42"/>
      <c r="H608" s="42"/>
    </row>
    <row r="609">
      <c r="C609" s="42"/>
      <c r="D609" s="42"/>
      <c r="E609" s="42"/>
      <c r="G609" s="42"/>
      <c r="H609" s="42"/>
    </row>
    <row r="610">
      <c r="C610" s="42"/>
      <c r="D610" s="42"/>
      <c r="E610" s="42"/>
      <c r="G610" s="42"/>
      <c r="H610" s="42"/>
    </row>
    <row r="611">
      <c r="C611" s="42"/>
      <c r="D611" s="42"/>
      <c r="E611" s="42"/>
      <c r="G611" s="42"/>
      <c r="H611" s="42"/>
    </row>
    <row r="612">
      <c r="C612" s="42"/>
      <c r="D612" s="42"/>
      <c r="E612" s="42"/>
      <c r="G612" s="42"/>
      <c r="H612" s="42"/>
    </row>
    <row r="613">
      <c r="C613" s="42"/>
      <c r="D613" s="42"/>
      <c r="E613" s="42"/>
      <c r="G613" s="42"/>
      <c r="H613" s="42"/>
    </row>
    <row r="614">
      <c r="C614" s="42"/>
      <c r="D614" s="42"/>
      <c r="E614" s="42"/>
      <c r="G614" s="42"/>
      <c r="H614" s="42"/>
    </row>
    <row r="615">
      <c r="C615" s="42"/>
      <c r="D615" s="42"/>
      <c r="E615" s="42"/>
      <c r="G615" s="42"/>
      <c r="H615" s="42"/>
    </row>
    <row r="616">
      <c r="C616" s="42"/>
      <c r="D616" s="42"/>
      <c r="E616" s="42"/>
      <c r="G616" s="42"/>
      <c r="H616" s="42"/>
    </row>
    <row r="617">
      <c r="C617" s="42"/>
      <c r="D617" s="42"/>
      <c r="E617" s="42"/>
      <c r="G617" s="42"/>
      <c r="H617" s="42"/>
    </row>
    <row r="618">
      <c r="C618" s="42"/>
      <c r="D618" s="42"/>
      <c r="E618" s="42"/>
      <c r="G618" s="42"/>
      <c r="H618" s="42"/>
    </row>
    <row r="619">
      <c r="C619" s="42"/>
      <c r="D619" s="42"/>
      <c r="E619" s="42"/>
      <c r="G619" s="42"/>
      <c r="H619" s="42"/>
    </row>
    <row r="620">
      <c r="C620" s="42"/>
      <c r="D620" s="42"/>
      <c r="E620" s="42"/>
      <c r="G620" s="42"/>
      <c r="H620" s="42"/>
    </row>
    <row r="621">
      <c r="C621" s="42"/>
      <c r="D621" s="42"/>
      <c r="E621" s="42"/>
      <c r="G621" s="42"/>
      <c r="H621" s="42"/>
    </row>
    <row r="622">
      <c r="C622" s="42"/>
      <c r="D622" s="42"/>
      <c r="E622" s="42"/>
      <c r="G622" s="42"/>
      <c r="H622" s="42"/>
    </row>
    <row r="623">
      <c r="C623" s="42"/>
      <c r="D623" s="42"/>
      <c r="E623" s="42"/>
      <c r="G623" s="42"/>
      <c r="H623" s="42"/>
    </row>
    <row r="624">
      <c r="C624" s="42"/>
      <c r="D624" s="42"/>
      <c r="E624" s="42"/>
      <c r="G624" s="42"/>
      <c r="H624" s="42"/>
    </row>
    <row r="625">
      <c r="C625" s="42"/>
      <c r="D625" s="42"/>
      <c r="E625" s="42"/>
      <c r="G625" s="42"/>
      <c r="H625" s="42"/>
    </row>
    <row r="626">
      <c r="C626" s="42"/>
      <c r="D626" s="42"/>
      <c r="E626" s="42"/>
      <c r="G626" s="42"/>
      <c r="H626" s="42"/>
    </row>
    <row r="627">
      <c r="C627" s="42"/>
      <c r="D627" s="42"/>
      <c r="E627" s="42"/>
      <c r="G627" s="42"/>
      <c r="H627" s="42"/>
    </row>
    <row r="628">
      <c r="C628" s="42"/>
      <c r="D628" s="42"/>
      <c r="E628" s="42"/>
      <c r="G628" s="42"/>
      <c r="H628" s="42"/>
    </row>
    <row r="629">
      <c r="C629" s="42"/>
      <c r="D629" s="42"/>
      <c r="E629" s="42"/>
      <c r="G629" s="42"/>
      <c r="H629" s="42"/>
    </row>
    <row r="630">
      <c r="C630" s="42"/>
      <c r="D630" s="42"/>
      <c r="E630" s="42"/>
      <c r="G630" s="42"/>
      <c r="H630" s="42"/>
    </row>
    <row r="631">
      <c r="C631" s="42"/>
      <c r="D631" s="42"/>
      <c r="E631" s="42"/>
      <c r="G631" s="42"/>
      <c r="H631" s="42"/>
    </row>
    <row r="632">
      <c r="C632" s="42"/>
      <c r="D632" s="42"/>
      <c r="E632" s="42"/>
      <c r="G632" s="42"/>
      <c r="H632" s="42"/>
    </row>
    <row r="633">
      <c r="C633" s="42"/>
      <c r="D633" s="42"/>
      <c r="E633" s="42"/>
      <c r="G633" s="42"/>
      <c r="H633" s="42"/>
    </row>
    <row r="634">
      <c r="C634" s="42"/>
      <c r="D634" s="42"/>
      <c r="E634" s="42"/>
      <c r="G634" s="42"/>
      <c r="H634" s="42"/>
    </row>
    <row r="635">
      <c r="C635" s="42"/>
      <c r="D635" s="42"/>
      <c r="E635" s="42"/>
      <c r="G635" s="42"/>
      <c r="H635" s="42"/>
    </row>
    <row r="636">
      <c r="C636" s="42"/>
      <c r="D636" s="42"/>
      <c r="E636" s="42"/>
      <c r="G636" s="42"/>
      <c r="H636" s="42"/>
    </row>
    <row r="637">
      <c r="C637" s="42"/>
      <c r="D637" s="42"/>
      <c r="E637" s="42"/>
      <c r="G637" s="42"/>
      <c r="H637" s="42"/>
    </row>
    <row r="638">
      <c r="C638" s="42"/>
      <c r="D638" s="42"/>
      <c r="E638" s="42"/>
      <c r="G638" s="42"/>
      <c r="H638" s="42"/>
    </row>
    <row r="639">
      <c r="C639" s="42"/>
      <c r="D639" s="42"/>
      <c r="E639" s="42"/>
      <c r="G639" s="42"/>
      <c r="H639" s="42"/>
    </row>
    <row r="640">
      <c r="C640" s="42"/>
      <c r="D640" s="42"/>
      <c r="E640" s="42"/>
      <c r="G640" s="42"/>
      <c r="H640" s="42"/>
    </row>
    <row r="641">
      <c r="C641" s="42"/>
      <c r="D641" s="42"/>
      <c r="E641" s="42"/>
      <c r="G641" s="42"/>
      <c r="H641" s="42"/>
    </row>
    <row r="642">
      <c r="C642" s="42"/>
      <c r="D642" s="42"/>
      <c r="E642" s="42"/>
      <c r="G642" s="42"/>
      <c r="H642" s="42"/>
    </row>
    <row r="643">
      <c r="C643" s="42"/>
      <c r="D643" s="42"/>
      <c r="E643" s="42"/>
      <c r="G643" s="42"/>
      <c r="H643" s="42"/>
    </row>
    <row r="644">
      <c r="C644" s="42"/>
      <c r="D644" s="42"/>
      <c r="E644" s="42"/>
      <c r="G644" s="42"/>
      <c r="H644" s="42"/>
    </row>
    <row r="645">
      <c r="C645" s="42"/>
      <c r="D645" s="42"/>
      <c r="E645" s="42"/>
      <c r="G645" s="42"/>
      <c r="H645" s="42"/>
    </row>
    <row r="646">
      <c r="C646" s="42"/>
      <c r="D646" s="42"/>
      <c r="E646" s="42"/>
      <c r="G646" s="42"/>
      <c r="H646" s="42"/>
    </row>
    <row r="647">
      <c r="C647" s="42"/>
      <c r="D647" s="42"/>
      <c r="E647" s="42"/>
      <c r="G647" s="42"/>
      <c r="H647" s="42"/>
    </row>
    <row r="648">
      <c r="C648" s="42"/>
      <c r="D648" s="42"/>
      <c r="E648" s="42"/>
      <c r="G648" s="42"/>
      <c r="H648" s="42"/>
    </row>
    <row r="649">
      <c r="C649" s="42"/>
      <c r="D649" s="42"/>
      <c r="E649" s="42"/>
      <c r="G649" s="42"/>
      <c r="H649" s="42"/>
    </row>
    <row r="650">
      <c r="C650" s="42"/>
      <c r="D650" s="42"/>
      <c r="E650" s="42"/>
      <c r="G650" s="42"/>
      <c r="H650" s="42"/>
    </row>
    <row r="651">
      <c r="C651" s="42"/>
      <c r="D651" s="42"/>
      <c r="E651" s="42"/>
      <c r="G651" s="42"/>
      <c r="H651" s="42"/>
    </row>
    <row r="652">
      <c r="C652" s="42"/>
      <c r="D652" s="42"/>
      <c r="E652" s="42"/>
      <c r="G652" s="42"/>
      <c r="H652" s="42"/>
    </row>
    <row r="653">
      <c r="C653" s="42"/>
      <c r="D653" s="42"/>
      <c r="E653" s="42"/>
      <c r="G653" s="42"/>
      <c r="H653" s="42"/>
    </row>
    <row r="654">
      <c r="C654" s="42"/>
      <c r="D654" s="42"/>
      <c r="E654" s="42"/>
      <c r="G654" s="42"/>
      <c r="H654" s="42"/>
    </row>
    <row r="655">
      <c r="C655" s="42"/>
      <c r="D655" s="42"/>
      <c r="E655" s="42"/>
      <c r="G655" s="42"/>
      <c r="H655" s="42"/>
    </row>
    <row r="656">
      <c r="C656" s="42"/>
      <c r="D656" s="42"/>
      <c r="E656" s="42"/>
      <c r="G656" s="42"/>
      <c r="H656" s="42"/>
    </row>
    <row r="657">
      <c r="C657" s="42"/>
      <c r="D657" s="42"/>
      <c r="E657" s="42"/>
      <c r="G657" s="42"/>
      <c r="H657" s="42"/>
    </row>
    <row r="658">
      <c r="C658" s="42"/>
      <c r="D658" s="42"/>
      <c r="E658" s="42"/>
      <c r="G658" s="42"/>
      <c r="H658" s="42"/>
    </row>
    <row r="659">
      <c r="C659" s="42"/>
      <c r="D659" s="42"/>
      <c r="E659" s="42"/>
      <c r="G659" s="42"/>
      <c r="H659" s="42"/>
    </row>
    <row r="660">
      <c r="C660" s="42"/>
      <c r="D660" s="42"/>
      <c r="E660" s="42"/>
      <c r="G660" s="42"/>
      <c r="H660" s="42"/>
    </row>
    <row r="661">
      <c r="C661" s="42"/>
      <c r="D661" s="42"/>
      <c r="E661" s="42"/>
      <c r="G661" s="42"/>
      <c r="H661" s="42"/>
    </row>
    <row r="662">
      <c r="C662" s="42"/>
      <c r="D662" s="42"/>
      <c r="E662" s="42"/>
      <c r="G662" s="42"/>
      <c r="H662" s="42"/>
    </row>
    <row r="663">
      <c r="C663" s="42"/>
      <c r="D663" s="42"/>
      <c r="E663" s="42"/>
      <c r="G663" s="42"/>
      <c r="H663" s="42"/>
    </row>
    <row r="664">
      <c r="C664" s="42"/>
      <c r="D664" s="42"/>
      <c r="E664" s="42"/>
      <c r="G664" s="42"/>
      <c r="H664" s="42"/>
    </row>
    <row r="665">
      <c r="C665" s="42"/>
      <c r="D665" s="42"/>
      <c r="E665" s="42"/>
      <c r="G665" s="42"/>
      <c r="H665" s="42"/>
    </row>
    <row r="666">
      <c r="C666" s="42"/>
      <c r="D666" s="42"/>
      <c r="E666" s="42"/>
      <c r="G666" s="42"/>
      <c r="H666" s="42"/>
    </row>
    <row r="667">
      <c r="C667" s="42"/>
      <c r="D667" s="42"/>
      <c r="E667" s="42"/>
      <c r="G667" s="42"/>
      <c r="H667" s="42"/>
    </row>
    <row r="668">
      <c r="C668" s="42"/>
      <c r="D668" s="42"/>
      <c r="E668" s="42"/>
      <c r="G668" s="42"/>
      <c r="H668" s="42"/>
    </row>
    <row r="669">
      <c r="C669" s="42"/>
      <c r="D669" s="42"/>
      <c r="E669" s="42"/>
      <c r="G669" s="42"/>
      <c r="H669" s="42"/>
    </row>
    <row r="670">
      <c r="C670" s="42"/>
      <c r="D670" s="42"/>
      <c r="E670" s="42"/>
      <c r="G670" s="42"/>
      <c r="H670" s="42"/>
    </row>
    <row r="671">
      <c r="C671" s="42"/>
      <c r="D671" s="42"/>
      <c r="E671" s="42"/>
      <c r="G671" s="42"/>
      <c r="H671" s="42"/>
    </row>
    <row r="672">
      <c r="C672" s="42"/>
      <c r="D672" s="42"/>
      <c r="E672" s="42"/>
      <c r="G672" s="42"/>
      <c r="H672" s="42"/>
    </row>
    <row r="673">
      <c r="C673" s="42"/>
      <c r="D673" s="42"/>
      <c r="E673" s="42"/>
      <c r="G673" s="42"/>
      <c r="H673" s="42"/>
    </row>
    <row r="674">
      <c r="C674" s="42"/>
      <c r="D674" s="42"/>
      <c r="E674" s="42"/>
      <c r="G674" s="42"/>
      <c r="H674" s="42"/>
    </row>
    <row r="675">
      <c r="C675" s="42"/>
      <c r="D675" s="42"/>
      <c r="E675" s="42"/>
      <c r="G675" s="42"/>
      <c r="H675" s="42"/>
    </row>
    <row r="676">
      <c r="C676" s="42"/>
      <c r="D676" s="42"/>
      <c r="E676" s="42"/>
      <c r="G676" s="42"/>
      <c r="H676" s="42"/>
    </row>
    <row r="677">
      <c r="C677" s="42"/>
      <c r="D677" s="42"/>
      <c r="E677" s="42"/>
      <c r="G677" s="42"/>
      <c r="H677" s="42"/>
    </row>
    <row r="678">
      <c r="C678" s="42"/>
      <c r="D678" s="42"/>
      <c r="E678" s="42"/>
      <c r="G678" s="42"/>
      <c r="H678" s="42"/>
    </row>
    <row r="679">
      <c r="C679" s="42"/>
      <c r="D679" s="42"/>
      <c r="E679" s="42"/>
      <c r="G679" s="42"/>
      <c r="H679" s="42"/>
    </row>
    <row r="680">
      <c r="C680" s="42"/>
      <c r="D680" s="42"/>
      <c r="E680" s="42"/>
      <c r="G680" s="42"/>
      <c r="H680" s="42"/>
    </row>
    <row r="681">
      <c r="C681" s="42"/>
      <c r="D681" s="42"/>
      <c r="E681" s="42"/>
      <c r="G681" s="42"/>
      <c r="H681" s="42"/>
    </row>
    <row r="682">
      <c r="C682" s="42"/>
      <c r="D682" s="42"/>
      <c r="E682" s="42"/>
      <c r="G682" s="42"/>
      <c r="H682" s="42"/>
    </row>
    <row r="683">
      <c r="C683" s="42"/>
      <c r="D683" s="42"/>
      <c r="E683" s="42"/>
      <c r="G683" s="42"/>
      <c r="H683" s="42"/>
    </row>
    <row r="684">
      <c r="C684" s="42"/>
      <c r="D684" s="42"/>
      <c r="E684" s="42"/>
      <c r="G684" s="42"/>
      <c r="H684" s="42"/>
    </row>
    <row r="685">
      <c r="C685" s="42"/>
      <c r="D685" s="42"/>
      <c r="E685" s="42"/>
      <c r="G685" s="42"/>
      <c r="H685" s="42"/>
    </row>
    <row r="686">
      <c r="C686" s="42"/>
      <c r="D686" s="42"/>
      <c r="E686" s="42"/>
      <c r="G686" s="42"/>
      <c r="H686" s="42"/>
    </row>
    <row r="687">
      <c r="C687" s="42"/>
      <c r="D687" s="42"/>
      <c r="E687" s="42"/>
      <c r="G687" s="42"/>
      <c r="H687" s="42"/>
    </row>
    <row r="688">
      <c r="C688" s="42"/>
      <c r="D688" s="42"/>
      <c r="E688" s="42"/>
      <c r="G688" s="42"/>
      <c r="H688" s="42"/>
    </row>
    <row r="689">
      <c r="C689" s="42"/>
      <c r="D689" s="42"/>
      <c r="E689" s="42"/>
      <c r="G689" s="42"/>
      <c r="H689" s="42"/>
    </row>
    <row r="690">
      <c r="C690" s="42"/>
      <c r="D690" s="42"/>
      <c r="E690" s="42"/>
      <c r="G690" s="42"/>
      <c r="H690" s="42"/>
    </row>
    <row r="691">
      <c r="C691" s="42"/>
      <c r="D691" s="42"/>
      <c r="E691" s="42"/>
      <c r="G691" s="42"/>
      <c r="H691" s="42"/>
    </row>
    <row r="692">
      <c r="C692" s="42"/>
      <c r="D692" s="42"/>
      <c r="E692" s="42"/>
      <c r="G692" s="42"/>
      <c r="H692" s="42"/>
    </row>
    <row r="693">
      <c r="C693" s="42"/>
      <c r="D693" s="42"/>
      <c r="E693" s="42"/>
      <c r="G693" s="42"/>
      <c r="H693" s="42"/>
    </row>
    <row r="694">
      <c r="C694" s="42"/>
      <c r="D694" s="42"/>
      <c r="E694" s="42"/>
      <c r="G694" s="42"/>
      <c r="H694" s="42"/>
    </row>
    <row r="695">
      <c r="C695" s="42"/>
      <c r="D695" s="42"/>
      <c r="E695" s="42"/>
      <c r="G695" s="42"/>
      <c r="H695" s="42"/>
    </row>
    <row r="696">
      <c r="C696" s="42"/>
      <c r="D696" s="42"/>
      <c r="E696" s="42"/>
      <c r="G696" s="42"/>
      <c r="H696" s="42"/>
    </row>
    <row r="697">
      <c r="C697" s="42"/>
      <c r="D697" s="42"/>
      <c r="E697" s="42"/>
      <c r="G697" s="42"/>
      <c r="H697" s="42"/>
    </row>
    <row r="698">
      <c r="C698" s="42"/>
      <c r="D698" s="42"/>
      <c r="E698" s="42"/>
      <c r="G698" s="42"/>
      <c r="H698" s="42"/>
    </row>
    <row r="699">
      <c r="C699" s="42"/>
      <c r="D699" s="42"/>
      <c r="E699" s="42"/>
      <c r="G699" s="42"/>
      <c r="H699" s="42"/>
    </row>
    <row r="700">
      <c r="C700" s="42"/>
      <c r="D700" s="42"/>
      <c r="E700" s="42"/>
      <c r="G700" s="42"/>
      <c r="H700" s="42"/>
    </row>
    <row r="701">
      <c r="C701" s="42"/>
      <c r="D701" s="42"/>
      <c r="E701" s="42"/>
      <c r="G701" s="42"/>
      <c r="H701" s="42"/>
    </row>
    <row r="702">
      <c r="C702" s="42"/>
      <c r="D702" s="42"/>
      <c r="E702" s="42"/>
      <c r="G702" s="42"/>
      <c r="H702" s="42"/>
    </row>
    <row r="703">
      <c r="C703" s="42"/>
      <c r="D703" s="42"/>
      <c r="E703" s="42"/>
      <c r="G703" s="42"/>
      <c r="H703" s="42"/>
    </row>
    <row r="704">
      <c r="C704" s="42"/>
      <c r="D704" s="42"/>
      <c r="E704" s="42"/>
      <c r="G704" s="42"/>
      <c r="H704" s="42"/>
    </row>
    <row r="705">
      <c r="C705" s="42"/>
      <c r="D705" s="42"/>
      <c r="E705" s="42"/>
      <c r="G705" s="42"/>
      <c r="H705" s="42"/>
    </row>
    <row r="706">
      <c r="C706" s="42"/>
      <c r="D706" s="42"/>
      <c r="E706" s="42"/>
      <c r="G706" s="42"/>
      <c r="H706" s="42"/>
    </row>
    <row r="707">
      <c r="C707" s="42"/>
      <c r="D707" s="42"/>
      <c r="E707" s="42"/>
      <c r="G707" s="42"/>
      <c r="H707" s="42"/>
    </row>
    <row r="708">
      <c r="C708" s="42"/>
      <c r="D708" s="42"/>
      <c r="E708" s="42"/>
      <c r="G708" s="42"/>
      <c r="H708" s="42"/>
    </row>
    <row r="709">
      <c r="C709" s="42"/>
      <c r="D709" s="42"/>
      <c r="E709" s="42"/>
      <c r="G709" s="42"/>
      <c r="H709" s="42"/>
    </row>
    <row r="710">
      <c r="C710" s="42"/>
      <c r="D710" s="42"/>
      <c r="E710" s="42"/>
      <c r="G710" s="42"/>
      <c r="H710" s="42"/>
    </row>
    <row r="711">
      <c r="C711" s="42"/>
      <c r="D711" s="42"/>
      <c r="E711" s="42"/>
      <c r="G711" s="42"/>
      <c r="H711" s="42"/>
    </row>
    <row r="712">
      <c r="C712" s="42"/>
      <c r="D712" s="42"/>
      <c r="E712" s="42"/>
      <c r="G712" s="42"/>
      <c r="H712" s="42"/>
    </row>
    <row r="713">
      <c r="C713" s="42"/>
      <c r="D713" s="42"/>
      <c r="E713" s="42"/>
      <c r="G713" s="42"/>
      <c r="H713" s="42"/>
    </row>
    <row r="714">
      <c r="C714" s="42"/>
      <c r="D714" s="42"/>
      <c r="E714" s="42"/>
      <c r="G714" s="42"/>
      <c r="H714" s="42"/>
    </row>
    <row r="715">
      <c r="C715" s="42"/>
      <c r="D715" s="42"/>
      <c r="E715" s="42"/>
      <c r="G715" s="42"/>
      <c r="H715" s="42"/>
    </row>
    <row r="716">
      <c r="C716" s="42"/>
      <c r="D716" s="42"/>
      <c r="E716" s="42"/>
      <c r="G716" s="42"/>
      <c r="H716" s="42"/>
    </row>
    <row r="717">
      <c r="C717" s="42"/>
      <c r="D717" s="42"/>
      <c r="E717" s="42"/>
      <c r="G717" s="42"/>
      <c r="H717" s="42"/>
    </row>
    <row r="718">
      <c r="C718" s="42"/>
      <c r="D718" s="42"/>
      <c r="E718" s="42"/>
      <c r="G718" s="42"/>
      <c r="H718" s="42"/>
    </row>
    <row r="719">
      <c r="C719" s="42"/>
      <c r="D719" s="42"/>
      <c r="E719" s="42"/>
      <c r="G719" s="42"/>
      <c r="H719" s="42"/>
    </row>
    <row r="720">
      <c r="C720" s="42"/>
      <c r="D720" s="42"/>
      <c r="E720" s="42"/>
      <c r="G720" s="42"/>
      <c r="H720" s="42"/>
    </row>
    <row r="721">
      <c r="C721" s="42"/>
      <c r="D721" s="42"/>
      <c r="E721" s="42"/>
      <c r="G721" s="42"/>
      <c r="H721" s="42"/>
    </row>
    <row r="722">
      <c r="C722" s="42"/>
      <c r="D722" s="42"/>
      <c r="E722" s="42"/>
      <c r="G722" s="42"/>
      <c r="H722" s="42"/>
    </row>
    <row r="723">
      <c r="C723" s="42"/>
      <c r="D723" s="42"/>
      <c r="E723" s="42"/>
      <c r="G723" s="42"/>
      <c r="H723" s="42"/>
    </row>
    <row r="724">
      <c r="C724" s="42"/>
      <c r="D724" s="42"/>
      <c r="E724" s="42"/>
      <c r="G724" s="42"/>
      <c r="H724" s="42"/>
    </row>
    <row r="725">
      <c r="C725" s="42"/>
      <c r="D725" s="42"/>
      <c r="E725" s="42"/>
      <c r="G725" s="42"/>
      <c r="H725" s="42"/>
    </row>
    <row r="726">
      <c r="C726" s="42"/>
      <c r="D726" s="42"/>
      <c r="E726" s="42"/>
      <c r="G726" s="42"/>
      <c r="H726" s="42"/>
    </row>
    <row r="727">
      <c r="C727" s="42"/>
      <c r="D727" s="42"/>
      <c r="E727" s="42"/>
      <c r="G727" s="42"/>
      <c r="H727" s="42"/>
    </row>
    <row r="728">
      <c r="C728" s="42"/>
      <c r="D728" s="42"/>
      <c r="E728" s="42"/>
      <c r="G728" s="42"/>
      <c r="H728" s="42"/>
    </row>
    <row r="729">
      <c r="C729" s="42"/>
      <c r="D729" s="42"/>
      <c r="E729" s="42"/>
      <c r="G729" s="42"/>
      <c r="H729" s="42"/>
    </row>
    <row r="730">
      <c r="C730" s="42"/>
      <c r="D730" s="42"/>
      <c r="E730" s="42"/>
      <c r="G730" s="42"/>
      <c r="H730" s="42"/>
    </row>
    <row r="731">
      <c r="C731" s="42"/>
      <c r="D731" s="42"/>
      <c r="E731" s="42"/>
      <c r="G731" s="42"/>
      <c r="H731" s="42"/>
    </row>
    <row r="732">
      <c r="C732" s="42"/>
      <c r="D732" s="42"/>
      <c r="E732" s="42"/>
      <c r="G732" s="42"/>
      <c r="H732" s="42"/>
    </row>
    <row r="733">
      <c r="C733" s="42"/>
      <c r="D733" s="42"/>
      <c r="E733" s="42"/>
      <c r="G733" s="42"/>
      <c r="H733" s="42"/>
    </row>
    <row r="734">
      <c r="C734" s="42"/>
      <c r="D734" s="42"/>
      <c r="E734" s="42"/>
      <c r="G734" s="42"/>
      <c r="H734" s="42"/>
    </row>
    <row r="735">
      <c r="C735" s="42"/>
      <c r="D735" s="42"/>
      <c r="E735" s="42"/>
      <c r="G735" s="42"/>
      <c r="H735" s="42"/>
    </row>
    <row r="736">
      <c r="C736" s="42"/>
      <c r="D736" s="42"/>
      <c r="E736" s="42"/>
      <c r="G736" s="42"/>
      <c r="H736" s="42"/>
    </row>
    <row r="737">
      <c r="C737" s="42"/>
      <c r="D737" s="42"/>
      <c r="E737" s="42"/>
      <c r="G737" s="42"/>
      <c r="H737" s="42"/>
    </row>
    <row r="738">
      <c r="C738" s="42"/>
      <c r="D738" s="42"/>
      <c r="E738" s="42"/>
      <c r="G738" s="42"/>
      <c r="H738" s="42"/>
    </row>
    <row r="739">
      <c r="C739" s="42"/>
      <c r="D739" s="42"/>
      <c r="E739" s="42"/>
      <c r="G739" s="42"/>
      <c r="H739" s="42"/>
    </row>
    <row r="740">
      <c r="C740" s="42"/>
      <c r="D740" s="42"/>
      <c r="E740" s="42"/>
      <c r="G740" s="42"/>
      <c r="H740" s="42"/>
    </row>
    <row r="741">
      <c r="C741" s="42"/>
      <c r="D741" s="42"/>
      <c r="E741" s="42"/>
      <c r="G741" s="42"/>
      <c r="H741" s="42"/>
    </row>
    <row r="742">
      <c r="C742" s="42"/>
      <c r="D742" s="42"/>
      <c r="E742" s="42"/>
      <c r="G742" s="42"/>
      <c r="H742" s="42"/>
    </row>
    <row r="743">
      <c r="C743" s="42"/>
      <c r="D743" s="42"/>
      <c r="E743" s="42"/>
      <c r="G743" s="42"/>
      <c r="H743" s="42"/>
    </row>
    <row r="744">
      <c r="C744" s="42"/>
      <c r="D744" s="42"/>
      <c r="E744" s="42"/>
      <c r="G744" s="42"/>
      <c r="H744" s="42"/>
    </row>
    <row r="745">
      <c r="C745" s="42"/>
      <c r="D745" s="42"/>
      <c r="E745" s="42"/>
      <c r="G745" s="42"/>
      <c r="H745" s="42"/>
    </row>
    <row r="746">
      <c r="C746" s="42"/>
      <c r="D746" s="42"/>
      <c r="E746" s="42"/>
      <c r="G746" s="42"/>
      <c r="H746" s="42"/>
    </row>
    <row r="747">
      <c r="C747" s="42"/>
      <c r="D747" s="42"/>
      <c r="E747" s="42"/>
      <c r="G747" s="42"/>
      <c r="H747" s="42"/>
    </row>
    <row r="748">
      <c r="C748" s="42"/>
      <c r="D748" s="42"/>
      <c r="E748" s="42"/>
      <c r="G748" s="42"/>
      <c r="H748" s="42"/>
    </row>
    <row r="749">
      <c r="C749" s="42"/>
      <c r="D749" s="42"/>
      <c r="E749" s="42"/>
      <c r="G749" s="42"/>
      <c r="H749" s="42"/>
    </row>
    <row r="750">
      <c r="C750" s="42"/>
      <c r="D750" s="42"/>
      <c r="E750" s="42"/>
      <c r="G750" s="42"/>
      <c r="H750" s="42"/>
    </row>
    <row r="751">
      <c r="C751" s="42"/>
      <c r="D751" s="42"/>
      <c r="E751" s="42"/>
      <c r="G751" s="42"/>
      <c r="H751" s="42"/>
    </row>
    <row r="752">
      <c r="C752" s="42"/>
      <c r="D752" s="42"/>
      <c r="E752" s="42"/>
      <c r="G752" s="42"/>
      <c r="H752" s="42"/>
    </row>
    <row r="753">
      <c r="C753" s="42"/>
      <c r="D753" s="42"/>
      <c r="E753" s="42"/>
      <c r="G753" s="42"/>
      <c r="H753" s="42"/>
    </row>
    <row r="754">
      <c r="C754" s="42"/>
      <c r="D754" s="42"/>
      <c r="E754" s="42"/>
      <c r="G754" s="42"/>
      <c r="H754" s="42"/>
    </row>
    <row r="755">
      <c r="C755" s="42"/>
      <c r="D755" s="42"/>
      <c r="E755" s="42"/>
      <c r="G755" s="42"/>
      <c r="H755" s="42"/>
    </row>
    <row r="756">
      <c r="C756" s="42"/>
      <c r="D756" s="42"/>
      <c r="E756" s="42"/>
      <c r="G756" s="42"/>
      <c r="H756" s="42"/>
    </row>
    <row r="757">
      <c r="C757" s="42"/>
      <c r="D757" s="42"/>
      <c r="E757" s="42"/>
      <c r="G757" s="42"/>
      <c r="H757" s="42"/>
    </row>
    <row r="758">
      <c r="C758" s="42"/>
      <c r="D758" s="42"/>
      <c r="E758" s="42"/>
      <c r="G758" s="42"/>
      <c r="H758" s="42"/>
    </row>
    <row r="759">
      <c r="C759" s="42"/>
      <c r="D759" s="42"/>
      <c r="E759" s="42"/>
      <c r="G759" s="42"/>
      <c r="H759" s="42"/>
    </row>
    <row r="760">
      <c r="C760" s="42"/>
      <c r="D760" s="42"/>
      <c r="E760" s="42"/>
      <c r="G760" s="42"/>
      <c r="H760" s="42"/>
    </row>
    <row r="761">
      <c r="C761" s="42"/>
      <c r="D761" s="42"/>
      <c r="E761" s="42"/>
      <c r="G761" s="42"/>
      <c r="H761" s="42"/>
    </row>
    <row r="762">
      <c r="C762" s="42"/>
      <c r="D762" s="42"/>
      <c r="E762" s="42"/>
      <c r="G762" s="42"/>
      <c r="H762" s="42"/>
    </row>
    <row r="763">
      <c r="C763" s="42"/>
      <c r="D763" s="42"/>
      <c r="E763" s="42"/>
      <c r="G763" s="42"/>
      <c r="H763" s="42"/>
    </row>
    <row r="764">
      <c r="C764" s="42"/>
      <c r="D764" s="42"/>
      <c r="E764" s="42"/>
      <c r="G764" s="42"/>
      <c r="H764" s="42"/>
    </row>
    <row r="765">
      <c r="C765" s="42"/>
      <c r="D765" s="42"/>
      <c r="E765" s="42"/>
      <c r="G765" s="42"/>
      <c r="H765" s="42"/>
    </row>
    <row r="766">
      <c r="C766" s="42"/>
      <c r="D766" s="42"/>
      <c r="E766" s="42"/>
      <c r="G766" s="42"/>
      <c r="H766" s="42"/>
    </row>
    <row r="767">
      <c r="C767" s="42"/>
      <c r="D767" s="42"/>
      <c r="E767" s="42"/>
      <c r="G767" s="42"/>
      <c r="H767" s="42"/>
    </row>
    <row r="768">
      <c r="C768" s="42"/>
      <c r="D768" s="42"/>
      <c r="E768" s="42"/>
      <c r="G768" s="42"/>
      <c r="H768" s="42"/>
    </row>
    <row r="769">
      <c r="C769" s="42"/>
      <c r="D769" s="42"/>
      <c r="E769" s="42"/>
      <c r="G769" s="42"/>
      <c r="H769" s="42"/>
    </row>
    <row r="770">
      <c r="C770" s="42"/>
      <c r="D770" s="42"/>
      <c r="E770" s="42"/>
      <c r="G770" s="42"/>
      <c r="H770" s="42"/>
    </row>
    <row r="771">
      <c r="C771" s="42"/>
      <c r="D771" s="42"/>
      <c r="E771" s="42"/>
      <c r="G771" s="42"/>
      <c r="H771" s="42"/>
    </row>
    <row r="772">
      <c r="C772" s="42"/>
      <c r="D772" s="42"/>
      <c r="E772" s="42"/>
      <c r="G772" s="42"/>
      <c r="H772" s="42"/>
    </row>
    <row r="773">
      <c r="C773" s="42"/>
      <c r="D773" s="42"/>
      <c r="E773" s="42"/>
      <c r="G773" s="42"/>
      <c r="H773" s="42"/>
    </row>
    <row r="774">
      <c r="C774" s="42"/>
      <c r="D774" s="42"/>
      <c r="E774" s="42"/>
      <c r="G774" s="42"/>
      <c r="H774" s="42"/>
    </row>
    <row r="775">
      <c r="C775" s="42"/>
      <c r="D775" s="42"/>
      <c r="E775" s="42"/>
      <c r="G775" s="42"/>
      <c r="H775" s="42"/>
    </row>
    <row r="776">
      <c r="C776" s="42"/>
      <c r="D776" s="42"/>
      <c r="E776" s="42"/>
      <c r="G776" s="42"/>
      <c r="H776" s="42"/>
    </row>
    <row r="777">
      <c r="C777" s="42"/>
      <c r="D777" s="42"/>
      <c r="E777" s="42"/>
      <c r="G777" s="42"/>
      <c r="H777" s="42"/>
    </row>
    <row r="778">
      <c r="C778" s="42"/>
      <c r="D778" s="42"/>
      <c r="E778" s="42"/>
      <c r="G778" s="42"/>
      <c r="H778" s="42"/>
    </row>
    <row r="779">
      <c r="C779" s="42"/>
      <c r="D779" s="42"/>
      <c r="E779" s="42"/>
      <c r="G779" s="42"/>
      <c r="H779" s="42"/>
    </row>
    <row r="780">
      <c r="C780" s="42"/>
      <c r="D780" s="42"/>
      <c r="E780" s="42"/>
      <c r="G780" s="42"/>
      <c r="H780" s="42"/>
    </row>
    <row r="781">
      <c r="C781" s="42"/>
      <c r="D781" s="42"/>
      <c r="E781" s="42"/>
      <c r="G781" s="42"/>
      <c r="H781" s="42"/>
    </row>
    <row r="782">
      <c r="C782" s="42"/>
      <c r="D782" s="42"/>
      <c r="E782" s="42"/>
      <c r="G782" s="42"/>
      <c r="H782" s="42"/>
    </row>
    <row r="783">
      <c r="C783" s="42"/>
      <c r="D783" s="42"/>
      <c r="E783" s="42"/>
      <c r="G783" s="42"/>
      <c r="H783" s="42"/>
    </row>
    <row r="784">
      <c r="C784" s="42"/>
      <c r="D784" s="42"/>
      <c r="E784" s="42"/>
      <c r="G784" s="42"/>
      <c r="H784" s="42"/>
    </row>
    <row r="785">
      <c r="C785" s="42"/>
      <c r="D785" s="42"/>
      <c r="E785" s="42"/>
      <c r="G785" s="42"/>
      <c r="H785" s="42"/>
    </row>
    <row r="786">
      <c r="C786" s="42"/>
      <c r="D786" s="42"/>
      <c r="E786" s="42"/>
      <c r="G786" s="42"/>
      <c r="H786" s="42"/>
    </row>
    <row r="787">
      <c r="C787" s="42"/>
      <c r="D787" s="42"/>
      <c r="E787" s="42"/>
      <c r="G787" s="42"/>
      <c r="H787" s="42"/>
    </row>
    <row r="788">
      <c r="C788" s="42"/>
      <c r="D788" s="42"/>
      <c r="E788" s="42"/>
      <c r="G788" s="42"/>
      <c r="H788" s="42"/>
    </row>
    <row r="789">
      <c r="C789" s="42"/>
      <c r="D789" s="42"/>
      <c r="E789" s="42"/>
      <c r="G789" s="42"/>
      <c r="H789" s="42"/>
    </row>
    <row r="790">
      <c r="C790" s="42"/>
      <c r="D790" s="42"/>
      <c r="E790" s="42"/>
      <c r="G790" s="42"/>
      <c r="H790" s="42"/>
    </row>
    <row r="791">
      <c r="C791" s="42"/>
      <c r="D791" s="42"/>
      <c r="E791" s="42"/>
      <c r="G791" s="42"/>
      <c r="H791" s="42"/>
    </row>
    <row r="792">
      <c r="C792" s="42"/>
      <c r="D792" s="42"/>
      <c r="E792" s="42"/>
      <c r="G792" s="42"/>
      <c r="H792" s="42"/>
    </row>
    <row r="793">
      <c r="C793" s="42"/>
      <c r="D793" s="42"/>
      <c r="E793" s="42"/>
      <c r="G793" s="42"/>
      <c r="H793" s="42"/>
    </row>
    <row r="794">
      <c r="C794" s="42"/>
      <c r="D794" s="42"/>
      <c r="E794" s="42"/>
      <c r="G794" s="42"/>
      <c r="H794" s="42"/>
    </row>
    <row r="795">
      <c r="C795" s="42"/>
      <c r="D795" s="42"/>
      <c r="E795" s="42"/>
      <c r="G795" s="42"/>
      <c r="H795" s="42"/>
    </row>
    <row r="796">
      <c r="C796" s="42"/>
      <c r="D796" s="42"/>
      <c r="E796" s="42"/>
      <c r="G796" s="42"/>
      <c r="H796" s="42"/>
    </row>
    <row r="797">
      <c r="C797" s="42"/>
      <c r="D797" s="42"/>
      <c r="E797" s="42"/>
      <c r="G797" s="42"/>
      <c r="H797" s="42"/>
    </row>
    <row r="798">
      <c r="C798" s="42"/>
      <c r="D798" s="42"/>
      <c r="E798" s="42"/>
      <c r="G798" s="42"/>
      <c r="H798" s="42"/>
    </row>
    <row r="799">
      <c r="C799" s="42"/>
      <c r="D799" s="42"/>
      <c r="E799" s="42"/>
      <c r="G799" s="42"/>
      <c r="H799" s="42"/>
    </row>
    <row r="800">
      <c r="C800" s="42"/>
      <c r="D800" s="42"/>
      <c r="E800" s="42"/>
      <c r="G800" s="42"/>
      <c r="H800" s="42"/>
    </row>
    <row r="801">
      <c r="C801" s="42"/>
      <c r="D801" s="42"/>
      <c r="E801" s="42"/>
      <c r="G801" s="42"/>
      <c r="H801" s="42"/>
    </row>
    <row r="802">
      <c r="C802" s="42"/>
      <c r="D802" s="42"/>
      <c r="E802" s="42"/>
      <c r="G802" s="42"/>
      <c r="H802" s="42"/>
    </row>
    <row r="803">
      <c r="C803" s="42"/>
      <c r="D803" s="42"/>
      <c r="E803" s="42"/>
      <c r="G803" s="42"/>
      <c r="H803" s="42"/>
    </row>
    <row r="804">
      <c r="C804" s="42"/>
      <c r="D804" s="42"/>
      <c r="E804" s="42"/>
      <c r="G804" s="42"/>
      <c r="H804" s="42"/>
    </row>
    <row r="805">
      <c r="C805" s="42"/>
      <c r="D805" s="42"/>
      <c r="E805" s="42"/>
      <c r="G805" s="42"/>
      <c r="H805" s="42"/>
    </row>
    <row r="806">
      <c r="C806" s="42"/>
      <c r="D806" s="42"/>
      <c r="E806" s="42"/>
      <c r="G806" s="42"/>
      <c r="H806" s="42"/>
    </row>
    <row r="807">
      <c r="C807" s="42"/>
      <c r="D807" s="42"/>
      <c r="E807" s="42"/>
      <c r="G807" s="42"/>
      <c r="H807" s="42"/>
    </row>
    <row r="808">
      <c r="C808" s="42"/>
      <c r="D808" s="42"/>
      <c r="E808" s="42"/>
      <c r="G808" s="42"/>
      <c r="H808" s="42"/>
    </row>
    <row r="809">
      <c r="C809" s="42"/>
      <c r="D809" s="42"/>
      <c r="E809" s="42"/>
      <c r="G809" s="42"/>
      <c r="H809" s="42"/>
    </row>
    <row r="810">
      <c r="C810" s="42"/>
      <c r="D810" s="42"/>
      <c r="E810" s="42"/>
      <c r="G810" s="42"/>
      <c r="H810" s="42"/>
    </row>
    <row r="811">
      <c r="C811" s="42"/>
      <c r="D811" s="42"/>
      <c r="E811" s="42"/>
      <c r="G811" s="42"/>
      <c r="H811" s="42"/>
    </row>
    <row r="812">
      <c r="C812" s="42"/>
      <c r="D812" s="42"/>
      <c r="E812" s="42"/>
      <c r="G812" s="42"/>
      <c r="H812" s="42"/>
    </row>
    <row r="813">
      <c r="C813" s="42"/>
      <c r="D813" s="42"/>
      <c r="E813" s="42"/>
      <c r="G813" s="42"/>
      <c r="H813" s="42"/>
    </row>
    <row r="814">
      <c r="C814" s="42"/>
      <c r="D814" s="42"/>
      <c r="E814" s="42"/>
      <c r="G814" s="42"/>
      <c r="H814" s="42"/>
    </row>
    <row r="815">
      <c r="C815" s="42"/>
      <c r="D815" s="42"/>
      <c r="E815" s="42"/>
      <c r="G815" s="42"/>
      <c r="H815" s="42"/>
    </row>
    <row r="816">
      <c r="C816" s="42"/>
      <c r="D816" s="42"/>
      <c r="E816" s="42"/>
      <c r="G816" s="42"/>
      <c r="H816" s="42"/>
    </row>
    <row r="817">
      <c r="C817" s="42"/>
      <c r="D817" s="42"/>
      <c r="E817" s="42"/>
      <c r="G817" s="42"/>
      <c r="H817" s="42"/>
    </row>
    <row r="818">
      <c r="C818" s="42"/>
      <c r="D818" s="42"/>
      <c r="E818" s="42"/>
      <c r="G818" s="42"/>
      <c r="H818" s="42"/>
    </row>
    <row r="819">
      <c r="C819" s="42"/>
      <c r="D819" s="42"/>
      <c r="E819" s="42"/>
      <c r="G819" s="42"/>
      <c r="H819" s="42"/>
    </row>
    <row r="820">
      <c r="C820" s="42"/>
      <c r="D820" s="42"/>
      <c r="E820" s="42"/>
      <c r="G820" s="42"/>
      <c r="H820" s="42"/>
    </row>
    <row r="821">
      <c r="C821" s="42"/>
      <c r="D821" s="42"/>
      <c r="E821" s="42"/>
      <c r="G821" s="42"/>
      <c r="H821" s="42"/>
    </row>
    <row r="822">
      <c r="C822" s="42"/>
      <c r="D822" s="42"/>
      <c r="E822" s="42"/>
      <c r="G822" s="42"/>
      <c r="H822" s="42"/>
    </row>
    <row r="823">
      <c r="C823" s="42"/>
      <c r="D823" s="42"/>
      <c r="E823" s="42"/>
      <c r="G823" s="42"/>
      <c r="H823" s="42"/>
    </row>
    <row r="824">
      <c r="C824" s="42"/>
      <c r="D824" s="42"/>
      <c r="E824" s="42"/>
      <c r="G824" s="42"/>
      <c r="H824" s="42"/>
    </row>
    <row r="825">
      <c r="C825" s="42"/>
      <c r="D825" s="42"/>
      <c r="E825" s="42"/>
      <c r="G825" s="42"/>
      <c r="H825" s="42"/>
    </row>
    <row r="826">
      <c r="C826" s="42"/>
      <c r="D826" s="42"/>
      <c r="E826" s="42"/>
      <c r="G826" s="42"/>
      <c r="H826" s="42"/>
    </row>
    <row r="827">
      <c r="C827" s="42"/>
      <c r="D827" s="42"/>
      <c r="E827" s="42"/>
      <c r="G827" s="42"/>
      <c r="H827" s="42"/>
    </row>
    <row r="828">
      <c r="C828" s="42"/>
      <c r="D828" s="42"/>
      <c r="E828" s="42"/>
      <c r="G828" s="42"/>
      <c r="H828" s="42"/>
    </row>
    <row r="829">
      <c r="C829" s="42"/>
      <c r="D829" s="42"/>
      <c r="E829" s="42"/>
      <c r="G829" s="42"/>
      <c r="H829" s="42"/>
    </row>
    <row r="830">
      <c r="C830" s="42"/>
      <c r="D830" s="42"/>
      <c r="E830" s="42"/>
      <c r="G830" s="42"/>
      <c r="H830" s="42"/>
    </row>
    <row r="831">
      <c r="C831" s="42"/>
      <c r="D831" s="42"/>
      <c r="E831" s="42"/>
      <c r="G831" s="42"/>
      <c r="H831" s="42"/>
    </row>
    <row r="832">
      <c r="C832" s="42"/>
      <c r="D832" s="42"/>
      <c r="E832" s="42"/>
      <c r="G832" s="42"/>
      <c r="H832" s="42"/>
    </row>
    <row r="833">
      <c r="C833" s="42"/>
      <c r="D833" s="42"/>
      <c r="E833" s="42"/>
      <c r="G833" s="42"/>
      <c r="H833" s="42"/>
    </row>
    <row r="834">
      <c r="C834" s="42"/>
      <c r="D834" s="42"/>
      <c r="E834" s="42"/>
      <c r="G834" s="42"/>
      <c r="H834" s="42"/>
    </row>
    <row r="835">
      <c r="C835" s="42"/>
      <c r="D835" s="42"/>
      <c r="E835" s="42"/>
      <c r="G835" s="42"/>
      <c r="H835" s="42"/>
    </row>
    <row r="836">
      <c r="C836" s="42"/>
      <c r="D836" s="42"/>
      <c r="E836" s="42"/>
      <c r="G836" s="42"/>
      <c r="H836" s="42"/>
    </row>
    <row r="837">
      <c r="C837" s="42"/>
      <c r="D837" s="42"/>
      <c r="E837" s="42"/>
      <c r="G837" s="42"/>
      <c r="H837" s="42"/>
    </row>
    <row r="838">
      <c r="C838" s="42"/>
      <c r="D838" s="42"/>
      <c r="E838" s="42"/>
      <c r="G838" s="42"/>
      <c r="H838" s="42"/>
    </row>
    <row r="839">
      <c r="C839" s="42"/>
      <c r="D839" s="42"/>
      <c r="E839" s="42"/>
      <c r="G839" s="42"/>
      <c r="H839" s="42"/>
    </row>
    <row r="840">
      <c r="C840" s="42"/>
      <c r="D840" s="42"/>
      <c r="E840" s="42"/>
      <c r="G840" s="42"/>
      <c r="H840" s="42"/>
    </row>
    <row r="841">
      <c r="C841" s="42"/>
      <c r="D841" s="42"/>
      <c r="E841" s="42"/>
      <c r="G841" s="42"/>
      <c r="H841" s="42"/>
    </row>
    <row r="842">
      <c r="C842" s="42"/>
      <c r="D842" s="42"/>
      <c r="E842" s="42"/>
      <c r="G842" s="42"/>
      <c r="H842" s="42"/>
    </row>
    <row r="843">
      <c r="C843" s="42"/>
      <c r="D843" s="42"/>
      <c r="E843" s="42"/>
      <c r="G843" s="42"/>
      <c r="H843" s="42"/>
    </row>
    <row r="844">
      <c r="C844" s="42"/>
      <c r="D844" s="42"/>
      <c r="E844" s="42"/>
      <c r="G844" s="42"/>
      <c r="H844" s="42"/>
    </row>
    <row r="845">
      <c r="C845" s="42"/>
      <c r="D845" s="42"/>
      <c r="E845" s="42"/>
      <c r="G845" s="42"/>
      <c r="H845" s="42"/>
    </row>
    <row r="846">
      <c r="C846" s="42"/>
      <c r="D846" s="42"/>
      <c r="E846" s="42"/>
      <c r="G846" s="42"/>
      <c r="H846" s="42"/>
    </row>
    <row r="847">
      <c r="C847" s="42"/>
      <c r="D847" s="42"/>
      <c r="E847" s="42"/>
      <c r="G847" s="42"/>
      <c r="H847" s="42"/>
    </row>
    <row r="848">
      <c r="C848" s="42"/>
      <c r="D848" s="42"/>
      <c r="E848" s="42"/>
      <c r="G848" s="42"/>
      <c r="H848" s="42"/>
    </row>
    <row r="849">
      <c r="C849" s="42"/>
      <c r="D849" s="42"/>
      <c r="E849" s="42"/>
      <c r="G849" s="42"/>
      <c r="H849" s="42"/>
    </row>
    <row r="850">
      <c r="C850" s="42"/>
      <c r="D850" s="42"/>
      <c r="E850" s="42"/>
      <c r="G850" s="42"/>
      <c r="H850" s="42"/>
    </row>
    <row r="851">
      <c r="C851" s="42"/>
      <c r="D851" s="42"/>
      <c r="E851" s="42"/>
      <c r="G851" s="42"/>
      <c r="H851" s="42"/>
    </row>
    <row r="852">
      <c r="C852" s="42"/>
      <c r="D852" s="42"/>
      <c r="E852" s="42"/>
      <c r="G852" s="42"/>
      <c r="H852" s="42"/>
    </row>
    <row r="853">
      <c r="C853" s="42"/>
      <c r="D853" s="42"/>
      <c r="E853" s="42"/>
      <c r="G853" s="42"/>
      <c r="H853" s="42"/>
    </row>
    <row r="854">
      <c r="C854" s="42"/>
      <c r="D854" s="42"/>
      <c r="E854" s="42"/>
      <c r="G854" s="42"/>
      <c r="H854" s="42"/>
    </row>
    <row r="855">
      <c r="C855" s="42"/>
      <c r="D855" s="42"/>
      <c r="E855" s="42"/>
      <c r="G855" s="42"/>
      <c r="H855" s="42"/>
    </row>
    <row r="856">
      <c r="C856" s="42"/>
      <c r="D856" s="42"/>
      <c r="E856" s="42"/>
      <c r="G856" s="42"/>
      <c r="H856" s="42"/>
    </row>
    <row r="857">
      <c r="C857" s="42"/>
      <c r="D857" s="42"/>
      <c r="E857" s="42"/>
      <c r="G857" s="42"/>
      <c r="H857" s="42"/>
    </row>
    <row r="858">
      <c r="C858" s="42"/>
      <c r="D858" s="42"/>
      <c r="E858" s="42"/>
      <c r="G858" s="42"/>
      <c r="H858" s="42"/>
    </row>
    <row r="859">
      <c r="C859" s="42"/>
      <c r="D859" s="42"/>
      <c r="E859" s="42"/>
      <c r="G859" s="42"/>
      <c r="H859" s="42"/>
    </row>
    <row r="860">
      <c r="C860" s="42"/>
      <c r="D860" s="42"/>
      <c r="E860" s="42"/>
      <c r="G860" s="42"/>
      <c r="H860" s="42"/>
    </row>
    <row r="861">
      <c r="C861" s="42"/>
      <c r="D861" s="42"/>
      <c r="E861" s="42"/>
      <c r="G861" s="42"/>
      <c r="H861" s="42"/>
    </row>
    <row r="862">
      <c r="C862" s="42"/>
      <c r="D862" s="42"/>
      <c r="E862" s="42"/>
      <c r="G862" s="42"/>
      <c r="H862" s="42"/>
    </row>
    <row r="863">
      <c r="C863" s="42"/>
      <c r="D863" s="42"/>
      <c r="E863" s="42"/>
      <c r="G863" s="42"/>
      <c r="H863" s="42"/>
    </row>
    <row r="864">
      <c r="C864" s="42"/>
      <c r="D864" s="42"/>
      <c r="E864" s="42"/>
      <c r="G864" s="42"/>
      <c r="H864" s="42"/>
    </row>
    <row r="865">
      <c r="C865" s="42"/>
      <c r="D865" s="42"/>
      <c r="E865" s="42"/>
      <c r="G865" s="42"/>
      <c r="H865" s="42"/>
    </row>
    <row r="866">
      <c r="C866" s="42"/>
      <c r="D866" s="42"/>
      <c r="E866" s="42"/>
      <c r="G866" s="42"/>
      <c r="H866" s="42"/>
    </row>
    <row r="867">
      <c r="C867" s="42"/>
      <c r="D867" s="42"/>
      <c r="E867" s="42"/>
      <c r="G867" s="42"/>
      <c r="H867" s="42"/>
    </row>
    <row r="868">
      <c r="C868" s="42"/>
      <c r="D868" s="42"/>
      <c r="E868" s="42"/>
      <c r="G868" s="42"/>
      <c r="H868" s="42"/>
    </row>
    <row r="869">
      <c r="C869" s="42"/>
      <c r="D869" s="42"/>
      <c r="E869" s="42"/>
      <c r="G869" s="42"/>
      <c r="H869" s="42"/>
    </row>
    <row r="870">
      <c r="C870" s="42"/>
      <c r="D870" s="42"/>
      <c r="E870" s="42"/>
      <c r="G870" s="42"/>
      <c r="H870" s="42"/>
    </row>
    <row r="871">
      <c r="C871" s="42"/>
      <c r="D871" s="42"/>
      <c r="E871" s="42"/>
      <c r="G871" s="42"/>
      <c r="H871" s="42"/>
    </row>
    <row r="872">
      <c r="C872" s="42"/>
      <c r="D872" s="42"/>
      <c r="E872" s="42"/>
      <c r="G872" s="42"/>
      <c r="H872" s="42"/>
    </row>
    <row r="873">
      <c r="C873" s="42"/>
      <c r="D873" s="42"/>
      <c r="E873" s="42"/>
      <c r="G873" s="42"/>
      <c r="H873" s="42"/>
    </row>
    <row r="874">
      <c r="C874" s="42"/>
      <c r="D874" s="42"/>
      <c r="E874" s="42"/>
      <c r="G874" s="42"/>
      <c r="H874" s="42"/>
    </row>
    <row r="875">
      <c r="C875" s="42"/>
      <c r="D875" s="42"/>
      <c r="E875" s="42"/>
      <c r="G875" s="42"/>
      <c r="H875" s="42"/>
    </row>
    <row r="876">
      <c r="C876" s="42"/>
      <c r="D876" s="42"/>
      <c r="E876" s="42"/>
      <c r="G876" s="42"/>
      <c r="H876" s="42"/>
    </row>
    <row r="877">
      <c r="C877" s="42"/>
      <c r="D877" s="42"/>
      <c r="E877" s="42"/>
      <c r="G877" s="42"/>
      <c r="H877" s="42"/>
    </row>
    <row r="878">
      <c r="C878" s="42"/>
      <c r="D878" s="42"/>
      <c r="E878" s="42"/>
      <c r="G878" s="42"/>
      <c r="H878" s="42"/>
    </row>
    <row r="879">
      <c r="C879" s="42"/>
      <c r="D879" s="42"/>
      <c r="E879" s="42"/>
      <c r="G879" s="42"/>
      <c r="H879" s="42"/>
    </row>
    <row r="880">
      <c r="C880" s="42"/>
      <c r="D880" s="42"/>
      <c r="E880" s="42"/>
      <c r="G880" s="42"/>
      <c r="H880" s="42"/>
    </row>
    <row r="881">
      <c r="C881" s="42"/>
      <c r="D881" s="42"/>
      <c r="E881" s="42"/>
      <c r="G881" s="42"/>
      <c r="H881" s="42"/>
    </row>
    <row r="882">
      <c r="C882" s="42"/>
      <c r="D882" s="42"/>
      <c r="E882" s="42"/>
      <c r="G882" s="42"/>
      <c r="H882" s="42"/>
    </row>
    <row r="883">
      <c r="C883" s="42"/>
      <c r="D883" s="42"/>
      <c r="E883" s="42"/>
      <c r="G883" s="42"/>
      <c r="H883" s="42"/>
    </row>
    <row r="884">
      <c r="C884" s="42"/>
      <c r="D884" s="42"/>
      <c r="E884" s="42"/>
      <c r="G884" s="42"/>
      <c r="H884" s="42"/>
    </row>
    <row r="885">
      <c r="C885" s="42"/>
      <c r="D885" s="42"/>
      <c r="E885" s="42"/>
      <c r="G885" s="42"/>
      <c r="H885" s="42"/>
    </row>
    <row r="886">
      <c r="C886" s="42"/>
      <c r="D886" s="42"/>
      <c r="E886" s="42"/>
      <c r="G886" s="42"/>
      <c r="H886" s="42"/>
    </row>
    <row r="887">
      <c r="C887" s="42"/>
      <c r="D887" s="42"/>
      <c r="E887" s="42"/>
      <c r="G887" s="42"/>
      <c r="H887" s="42"/>
    </row>
    <row r="888">
      <c r="C888" s="42"/>
      <c r="D888" s="42"/>
      <c r="E888" s="42"/>
      <c r="G888" s="42"/>
      <c r="H888" s="42"/>
    </row>
    <row r="889">
      <c r="C889" s="42"/>
      <c r="D889" s="42"/>
      <c r="E889" s="42"/>
      <c r="G889" s="42"/>
      <c r="H889" s="42"/>
    </row>
    <row r="890">
      <c r="C890" s="42"/>
      <c r="D890" s="42"/>
      <c r="E890" s="42"/>
      <c r="G890" s="42"/>
      <c r="H890" s="42"/>
    </row>
    <row r="891">
      <c r="C891" s="42"/>
      <c r="D891" s="42"/>
      <c r="E891" s="42"/>
      <c r="G891" s="42"/>
      <c r="H891" s="42"/>
    </row>
    <row r="892">
      <c r="C892" s="42"/>
      <c r="D892" s="42"/>
      <c r="E892" s="42"/>
      <c r="G892" s="42"/>
      <c r="H892" s="42"/>
    </row>
    <row r="893">
      <c r="C893" s="42"/>
      <c r="D893" s="42"/>
      <c r="E893" s="42"/>
      <c r="G893" s="42"/>
      <c r="H893" s="42"/>
    </row>
    <row r="894">
      <c r="C894" s="42"/>
      <c r="D894" s="42"/>
      <c r="E894" s="42"/>
      <c r="G894" s="42"/>
      <c r="H894" s="42"/>
    </row>
    <row r="895">
      <c r="C895" s="42"/>
      <c r="D895" s="42"/>
      <c r="E895" s="42"/>
      <c r="G895" s="42"/>
      <c r="H895" s="42"/>
    </row>
    <row r="896">
      <c r="C896" s="42"/>
      <c r="D896" s="42"/>
      <c r="E896" s="42"/>
      <c r="G896" s="42"/>
      <c r="H896" s="42"/>
    </row>
    <row r="897">
      <c r="C897" s="42"/>
      <c r="D897" s="42"/>
      <c r="E897" s="42"/>
      <c r="G897" s="42"/>
      <c r="H897" s="42"/>
    </row>
    <row r="898">
      <c r="C898" s="42"/>
      <c r="D898" s="42"/>
      <c r="E898" s="42"/>
      <c r="G898" s="42"/>
      <c r="H898" s="42"/>
    </row>
    <row r="899">
      <c r="C899" s="42"/>
      <c r="D899" s="42"/>
      <c r="E899" s="42"/>
      <c r="G899" s="42"/>
      <c r="H899" s="42"/>
    </row>
    <row r="900">
      <c r="C900" s="42"/>
      <c r="D900" s="42"/>
      <c r="E900" s="42"/>
      <c r="G900" s="42"/>
      <c r="H900" s="42"/>
    </row>
    <row r="901">
      <c r="C901" s="42"/>
      <c r="D901" s="42"/>
      <c r="E901" s="42"/>
      <c r="G901" s="42"/>
      <c r="H901" s="42"/>
    </row>
    <row r="902">
      <c r="C902" s="42"/>
      <c r="D902" s="42"/>
      <c r="E902" s="42"/>
      <c r="G902" s="42"/>
      <c r="H902" s="42"/>
    </row>
    <row r="903">
      <c r="C903" s="42"/>
      <c r="D903" s="42"/>
      <c r="E903" s="42"/>
      <c r="G903" s="42"/>
      <c r="H903" s="42"/>
    </row>
    <row r="904">
      <c r="C904" s="42"/>
      <c r="D904" s="42"/>
      <c r="E904" s="42"/>
      <c r="G904" s="42"/>
      <c r="H904" s="42"/>
    </row>
    <row r="905">
      <c r="C905" s="42"/>
      <c r="D905" s="42"/>
      <c r="E905" s="42"/>
      <c r="G905" s="42"/>
      <c r="H905" s="42"/>
    </row>
    <row r="906">
      <c r="C906" s="42"/>
      <c r="D906" s="42"/>
      <c r="E906" s="42"/>
      <c r="G906" s="42"/>
      <c r="H906" s="42"/>
    </row>
    <row r="907">
      <c r="C907" s="42"/>
      <c r="D907" s="42"/>
      <c r="E907" s="42"/>
      <c r="G907" s="42"/>
      <c r="H907" s="42"/>
    </row>
    <row r="908">
      <c r="C908" s="42"/>
      <c r="D908" s="42"/>
      <c r="E908" s="42"/>
      <c r="G908" s="42"/>
      <c r="H908" s="42"/>
    </row>
    <row r="909">
      <c r="C909" s="42"/>
      <c r="D909" s="42"/>
      <c r="E909" s="42"/>
      <c r="G909" s="42"/>
      <c r="H909" s="42"/>
    </row>
    <row r="910">
      <c r="C910" s="42"/>
      <c r="D910" s="42"/>
      <c r="E910" s="42"/>
      <c r="G910" s="42"/>
      <c r="H910" s="42"/>
    </row>
    <row r="911">
      <c r="C911" s="42"/>
      <c r="D911" s="42"/>
      <c r="E911" s="42"/>
      <c r="G911" s="42"/>
      <c r="H911" s="42"/>
    </row>
    <row r="912">
      <c r="C912" s="42"/>
      <c r="D912" s="42"/>
      <c r="E912" s="42"/>
      <c r="G912" s="42"/>
      <c r="H912" s="42"/>
    </row>
    <row r="913">
      <c r="C913" s="42"/>
      <c r="D913" s="42"/>
      <c r="E913" s="42"/>
      <c r="G913" s="42"/>
      <c r="H913" s="42"/>
    </row>
    <row r="914">
      <c r="C914" s="42"/>
      <c r="D914" s="42"/>
      <c r="E914" s="42"/>
      <c r="G914" s="42"/>
      <c r="H914" s="42"/>
    </row>
    <row r="915">
      <c r="C915" s="42"/>
      <c r="D915" s="42"/>
      <c r="E915" s="42"/>
      <c r="G915" s="42"/>
      <c r="H915" s="42"/>
    </row>
    <row r="916">
      <c r="C916" s="42"/>
      <c r="D916" s="42"/>
      <c r="E916" s="42"/>
      <c r="G916" s="42"/>
      <c r="H916" s="42"/>
    </row>
    <row r="917">
      <c r="C917" s="42"/>
      <c r="D917" s="42"/>
      <c r="E917" s="42"/>
      <c r="G917" s="42"/>
      <c r="H917" s="42"/>
    </row>
    <row r="918">
      <c r="C918" s="42"/>
      <c r="D918" s="42"/>
      <c r="E918" s="42"/>
      <c r="G918" s="42"/>
      <c r="H918" s="42"/>
    </row>
    <row r="919">
      <c r="C919" s="42"/>
      <c r="D919" s="42"/>
      <c r="E919" s="42"/>
      <c r="G919" s="42"/>
      <c r="H919" s="42"/>
    </row>
    <row r="920">
      <c r="C920" s="42"/>
      <c r="D920" s="42"/>
      <c r="E920" s="42"/>
      <c r="G920" s="42"/>
      <c r="H920" s="42"/>
    </row>
    <row r="921">
      <c r="C921" s="42"/>
      <c r="D921" s="42"/>
      <c r="E921" s="42"/>
      <c r="G921" s="42"/>
      <c r="H921" s="42"/>
    </row>
    <row r="922">
      <c r="C922" s="42"/>
      <c r="D922" s="42"/>
      <c r="E922" s="42"/>
      <c r="G922" s="42"/>
      <c r="H922" s="42"/>
    </row>
    <row r="923">
      <c r="C923" s="42"/>
      <c r="D923" s="42"/>
      <c r="E923" s="42"/>
      <c r="G923" s="42"/>
      <c r="H923" s="42"/>
    </row>
    <row r="924">
      <c r="C924" s="42"/>
      <c r="D924" s="42"/>
      <c r="E924" s="42"/>
      <c r="G924" s="42"/>
      <c r="H924" s="42"/>
    </row>
    <row r="925">
      <c r="C925" s="42"/>
      <c r="D925" s="42"/>
      <c r="E925" s="42"/>
      <c r="G925" s="42"/>
      <c r="H925" s="42"/>
    </row>
    <row r="926">
      <c r="C926" s="42"/>
      <c r="D926" s="42"/>
      <c r="E926" s="42"/>
      <c r="G926" s="42"/>
      <c r="H926" s="42"/>
    </row>
    <row r="927">
      <c r="C927" s="42"/>
      <c r="D927" s="42"/>
      <c r="E927" s="42"/>
      <c r="G927" s="42"/>
      <c r="H927" s="42"/>
    </row>
    <row r="928">
      <c r="C928" s="42"/>
      <c r="D928" s="42"/>
      <c r="E928" s="42"/>
      <c r="G928" s="42"/>
      <c r="H928" s="42"/>
    </row>
    <row r="929">
      <c r="C929" s="42"/>
      <c r="D929" s="42"/>
      <c r="E929" s="42"/>
      <c r="G929" s="42"/>
      <c r="H929" s="42"/>
    </row>
    <row r="930">
      <c r="C930" s="42"/>
      <c r="D930" s="42"/>
      <c r="E930" s="42"/>
      <c r="G930" s="42"/>
      <c r="H930" s="42"/>
    </row>
    <row r="931">
      <c r="C931" s="42"/>
      <c r="D931" s="42"/>
      <c r="E931" s="42"/>
      <c r="G931" s="42"/>
      <c r="H931" s="42"/>
    </row>
    <row r="932">
      <c r="C932" s="42"/>
      <c r="D932" s="42"/>
      <c r="E932" s="42"/>
      <c r="G932" s="42"/>
      <c r="H932" s="42"/>
    </row>
    <row r="933">
      <c r="C933" s="42"/>
      <c r="D933" s="42"/>
      <c r="E933" s="42"/>
      <c r="G933" s="42"/>
      <c r="H933" s="42"/>
    </row>
    <row r="934">
      <c r="C934" s="42"/>
      <c r="D934" s="42"/>
      <c r="E934" s="42"/>
      <c r="G934" s="42"/>
      <c r="H934" s="42"/>
    </row>
    <row r="935">
      <c r="C935" s="42"/>
      <c r="D935" s="42"/>
      <c r="E935" s="42"/>
      <c r="G935" s="42"/>
      <c r="H935" s="42"/>
    </row>
    <row r="936">
      <c r="C936" s="42"/>
      <c r="D936" s="42"/>
      <c r="E936" s="42"/>
      <c r="G936" s="42"/>
      <c r="H936" s="42"/>
    </row>
    <row r="937">
      <c r="C937" s="42"/>
      <c r="D937" s="42"/>
      <c r="E937" s="42"/>
      <c r="G937" s="42"/>
      <c r="H937" s="42"/>
    </row>
    <row r="938">
      <c r="C938" s="42"/>
      <c r="D938" s="42"/>
      <c r="E938" s="42"/>
      <c r="G938" s="42"/>
      <c r="H938" s="42"/>
    </row>
    <row r="939">
      <c r="C939" s="42"/>
      <c r="D939" s="42"/>
      <c r="E939" s="42"/>
      <c r="G939" s="42"/>
      <c r="H939" s="42"/>
    </row>
    <row r="940">
      <c r="C940" s="42"/>
      <c r="D940" s="42"/>
      <c r="E940" s="42"/>
      <c r="G940" s="42"/>
      <c r="H940" s="42"/>
    </row>
    <row r="941">
      <c r="C941" s="42"/>
      <c r="D941" s="42"/>
      <c r="E941" s="42"/>
      <c r="G941" s="42"/>
      <c r="H941" s="42"/>
    </row>
    <row r="942">
      <c r="C942" s="42"/>
      <c r="D942" s="42"/>
      <c r="E942" s="42"/>
      <c r="G942" s="42"/>
      <c r="H942" s="42"/>
    </row>
    <row r="943">
      <c r="C943" s="42"/>
      <c r="D943" s="42"/>
      <c r="E943" s="42"/>
      <c r="G943" s="42"/>
      <c r="H943" s="42"/>
    </row>
    <row r="944">
      <c r="C944" s="42"/>
      <c r="D944" s="42"/>
      <c r="E944" s="42"/>
      <c r="G944" s="42"/>
      <c r="H944" s="42"/>
    </row>
    <row r="945">
      <c r="C945" s="42"/>
      <c r="D945" s="42"/>
      <c r="E945" s="42"/>
      <c r="G945" s="42"/>
      <c r="H945" s="42"/>
    </row>
    <row r="946">
      <c r="C946" s="42"/>
      <c r="D946" s="42"/>
      <c r="E946" s="42"/>
      <c r="G946" s="42"/>
      <c r="H946" s="42"/>
    </row>
    <row r="947">
      <c r="C947" s="42"/>
      <c r="D947" s="42"/>
      <c r="E947" s="42"/>
      <c r="G947" s="42"/>
      <c r="H947" s="42"/>
    </row>
    <row r="948">
      <c r="C948" s="42"/>
      <c r="D948" s="42"/>
      <c r="E948" s="42"/>
      <c r="G948" s="42"/>
      <c r="H948" s="42"/>
    </row>
    <row r="949">
      <c r="C949" s="42"/>
      <c r="D949" s="42"/>
      <c r="E949" s="42"/>
      <c r="G949" s="42"/>
      <c r="H949" s="42"/>
    </row>
    <row r="950">
      <c r="C950" s="42"/>
      <c r="D950" s="42"/>
      <c r="E950" s="42"/>
      <c r="G950" s="42"/>
      <c r="H950" s="42"/>
    </row>
    <row r="951">
      <c r="C951" s="42"/>
      <c r="D951" s="42"/>
      <c r="E951" s="42"/>
      <c r="G951" s="42"/>
      <c r="H951" s="42"/>
    </row>
    <row r="952">
      <c r="C952" s="42"/>
      <c r="D952" s="42"/>
      <c r="E952" s="42"/>
      <c r="G952" s="42"/>
      <c r="H952" s="42"/>
    </row>
    <row r="953">
      <c r="C953" s="42"/>
      <c r="D953" s="42"/>
      <c r="E953" s="42"/>
      <c r="G953" s="42"/>
      <c r="H953" s="42"/>
    </row>
    <row r="954">
      <c r="C954" s="42"/>
      <c r="D954" s="42"/>
      <c r="E954" s="42"/>
      <c r="G954" s="42"/>
      <c r="H954" s="42"/>
    </row>
    <row r="955">
      <c r="C955" s="42"/>
      <c r="D955" s="42"/>
      <c r="E955" s="42"/>
      <c r="G955" s="42"/>
      <c r="H955" s="42"/>
    </row>
    <row r="956">
      <c r="C956" s="42"/>
      <c r="D956" s="42"/>
      <c r="E956" s="42"/>
      <c r="G956" s="42"/>
      <c r="H956" s="42"/>
    </row>
    <row r="957">
      <c r="C957" s="42"/>
      <c r="D957" s="42"/>
      <c r="E957" s="42"/>
      <c r="G957" s="42"/>
      <c r="H957" s="42"/>
    </row>
    <row r="958">
      <c r="C958" s="42"/>
      <c r="D958" s="42"/>
      <c r="E958" s="42"/>
      <c r="G958" s="42"/>
      <c r="H958" s="42"/>
    </row>
    <row r="959">
      <c r="C959" s="42"/>
      <c r="D959" s="42"/>
      <c r="E959" s="42"/>
      <c r="G959" s="42"/>
      <c r="H959" s="42"/>
    </row>
    <row r="960">
      <c r="C960" s="42"/>
      <c r="D960" s="42"/>
      <c r="E960" s="42"/>
      <c r="G960" s="42"/>
      <c r="H960" s="42"/>
    </row>
    <row r="961">
      <c r="C961" s="42"/>
      <c r="D961" s="42"/>
      <c r="E961" s="42"/>
      <c r="G961" s="42"/>
      <c r="H961" s="42"/>
    </row>
    <row r="962">
      <c r="C962" s="42"/>
      <c r="D962" s="42"/>
      <c r="E962" s="42"/>
      <c r="G962" s="42"/>
      <c r="H962" s="42"/>
    </row>
    <row r="963">
      <c r="C963" s="42"/>
      <c r="D963" s="42"/>
      <c r="E963" s="42"/>
      <c r="G963" s="42"/>
      <c r="H963" s="42"/>
    </row>
    <row r="964">
      <c r="C964" s="42"/>
      <c r="D964" s="42"/>
      <c r="E964" s="42"/>
      <c r="G964" s="42"/>
      <c r="H964" s="42"/>
    </row>
    <row r="965">
      <c r="C965" s="42"/>
      <c r="D965" s="42"/>
      <c r="E965" s="42"/>
      <c r="G965" s="42"/>
      <c r="H965" s="42"/>
    </row>
    <row r="966">
      <c r="C966" s="42"/>
      <c r="D966" s="42"/>
      <c r="E966" s="42"/>
      <c r="G966" s="42"/>
      <c r="H966" s="42"/>
    </row>
    <row r="967">
      <c r="C967" s="42"/>
      <c r="D967" s="42"/>
      <c r="E967" s="42"/>
      <c r="G967" s="42"/>
      <c r="H967" s="42"/>
    </row>
    <row r="968">
      <c r="C968" s="42"/>
      <c r="D968" s="42"/>
      <c r="E968" s="42"/>
      <c r="G968" s="42"/>
      <c r="H968" s="42"/>
    </row>
    <row r="969">
      <c r="C969" s="42"/>
      <c r="D969" s="42"/>
      <c r="E969" s="42"/>
      <c r="G969" s="42"/>
      <c r="H969" s="42"/>
    </row>
    <row r="970">
      <c r="C970" s="42"/>
      <c r="D970" s="42"/>
      <c r="E970" s="42"/>
      <c r="G970" s="42"/>
      <c r="H970" s="42"/>
    </row>
    <row r="971">
      <c r="C971" s="42"/>
      <c r="D971" s="42"/>
      <c r="E971" s="42"/>
      <c r="G971" s="42"/>
      <c r="H971" s="42"/>
    </row>
    <row r="972">
      <c r="C972" s="42"/>
      <c r="D972" s="42"/>
      <c r="E972" s="42"/>
      <c r="G972" s="42"/>
      <c r="H972" s="42"/>
    </row>
    <row r="973">
      <c r="C973" s="42"/>
      <c r="D973" s="42"/>
      <c r="E973" s="42"/>
      <c r="G973" s="42"/>
      <c r="H973" s="42"/>
    </row>
    <row r="974">
      <c r="C974" s="42"/>
      <c r="D974" s="42"/>
      <c r="E974" s="42"/>
      <c r="G974" s="42"/>
      <c r="H974" s="42"/>
    </row>
    <row r="975">
      <c r="C975" s="42"/>
      <c r="D975" s="42"/>
      <c r="E975" s="42"/>
      <c r="G975" s="42"/>
      <c r="H975" s="42"/>
    </row>
    <row r="976">
      <c r="C976" s="42"/>
      <c r="D976" s="42"/>
      <c r="E976" s="42"/>
      <c r="G976" s="42"/>
      <c r="H976" s="42"/>
    </row>
    <row r="977">
      <c r="C977" s="42"/>
      <c r="D977" s="42"/>
      <c r="E977" s="42"/>
      <c r="G977" s="42"/>
      <c r="H977" s="42"/>
    </row>
    <row r="978">
      <c r="C978" s="42"/>
      <c r="D978" s="42"/>
      <c r="E978" s="42"/>
      <c r="G978" s="42"/>
      <c r="H978" s="42"/>
    </row>
    <row r="979">
      <c r="C979" s="42"/>
      <c r="D979" s="42"/>
      <c r="E979" s="42"/>
      <c r="G979" s="42"/>
      <c r="H979" s="42"/>
    </row>
    <row r="980">
      <c r="C980" s="42"/>
      <c r="D980" s="42"/>
      <c r="E980" s="42"/>
      <c r="G980" s="42"/>
      <c r="H980" s="42"/>
    </row>
    <row r="981">
      <c r="C981" s="42"/>
      <c r="D981" s="42"/>
      <c r="E981" s="42"/>
      <c r="G981" s="42"/>
      <c r="H981" s="42"/>
    </row>
    <row r="982">
      <c r="C982" s="42"/>
      <c r="D982" s="42"/>
      <c r="E982" s="42"/>
      <c r="G982" s="42"/>
      <c r="H982" s="42"/>
    </row>
    <row r="983">
      <c r="C983" s="42"/>
      <c r="D983" s="42"/>
      <c r="E983" s="42"/>
      <c r="G983" s="42"/>
      <c r="H983" s="42"/>
    </row>
    <row r="984">
      <c r="C984" s="42"/>
      <c r="D984" s="42"/>
      <c r="E984" s="42"/>
      <c r="G984" s="42"/>
      <c r="H984" s="42"/>
    </row>
    <row r="985">
      <c r="C985" s="42"/>
      <c r="D985" s="42"/>
      <c r="E985" s="42"/>
      <c r="G985" s="42"/>
      <c r="H985" s="42"/>
    </row>
    <row r="986">
      <c r="C986" s="42"/>
      <c r="D986" s="42"/>
      <c r="E986" s="42"/>
      <c r="G986" s="42"/>
      <c r="H986" s="42"/>
    </row>
    <row r="987">
      <c r="C987" s="42"/>
      <c r="D987" s="42"/>
      <c r="E987" s="42"/>
      <c r="G987" s="42"/>
      <c r="H987" s="42"/>
    </row>
    <row r="988">
      <c r="C988" s="42"/>
      <c r="D988" s="42"/>
      <c r="E988" s="42"/>
      <c r="G988" s="42"/>
      <c r="H988" s="42"/>
    </row>
    <row r="989">
      <c r="C989" s="42"/>
      <c r="D989" s="42"/>
      <c r="E989" s="42"/>
      <c r="G989" s="42"/>
      <c r="H989" s="42"/>
    </row>
    <row r="990">
      <c r="C990" s="42"/>
      <c r="D990" s="42"/>
      <c r="E990" s="42"/>
      <c r="G990" s="42"/>
      <c r="H990" s="42"/>
    </row>
    <row r="991">
      <c r="C991" s="42"/>
      <c r="D991" s="42"/>
      <c r="E991" s="42"/>
      <c r="G991" s="42"/>
      <c r="H991" s="42"/>
    </row>
    <row r="992">
      <c r="C992" s="42"/>
      <c r="D992" s="42"/>
      <c r="E992" s="42"/>
      <c r="G992" s="42"/>
      <c r="H992" s="42"/>
    </row>
    <row r="993">
      <c r="C993" s="42"/>
      <c r="D993" s="42"/>
      <c r="E993" s="42"/>
      <c r="G993" s="42"/>
      <c r="H993" s="42"/>
    </row>
  </sheetData>
  <mergeCells count="1">
    <mergeCell ref="C55:D55"/>
  </mergeCells>
  <dataValidations>
    <dataValidation type="list" allowBlank="1" showErrorMessage="1" sqref="O2:O17 O19:O46 O49">
      <formula1>"PayPal,Crypto,Debit/Credit Card,PayPal, Crypto,Paypal, Debit/Credit Card,Crypto, Debit/Credit Card,PayPal, Crypto, Debit/Credit Card"</formula1>
    </dataValidation>
    <dataValidation type="list" allowBlank="1" showErrorMessage="1" sqref="P2:P49">
      <formula1>"PayPal,Crypto,Bank,PayPal, Crypto,Paypal, Bank,Crypto, Bank,PayPal, Crypto, Bank"</formula1>
    </dataValidation>
  </dataValidations>
  <hyperlinks>
    <hyperlink r:id="rId2" ref="A2"/>
    <hyperlink r:id="rId3" ref="J2"/>
    <hyperlink r:id="rId4" ref="A3"/>
    <hyperlink r:id="rId5" ref="J3"/>
    <hyperlink r:id="rId6" ref="A4"/>
    <hyperlink r:id="rId7" ref="J4"/>
    <hyperlink r:id="rId8" ref="A5"/>
    <hyperlink r:id="rId9" ref="J5"/>
    <hyperlink r:id="rId10" ref="A6"/>
    <hyperlink r:id="rId11" ref="J6"/>
    <hyperlink r:id="rId12" ref="A7"/>
    <hyperlink r:id="rId13" ref="J7"/>
    <hyperlink r:id="rId14" ref="A8"/>
    <hyperlink r:id="rId15" ref="J8"/>
    <hyperlink r:id="rId16" ref="A9"/>
    <hyperlink r:id="rId17" ref="J9"/>
    <hyperlink r:id="rId18" ref="A10"/>
    <hyperlink r:id="rId19" ref="J10"/>
    <hyperlink r:id="rId20" ref="A11"/>
    <hyperlink r:id="rId21" ref="J11"/>
    <hyperlink r:id="rId22" ref="A12"/>
    <hyperlink r:id="rId23" ref="J12"/>
    <hyperlink r:id="rId24" ref="A13"/>
    <hyperlink r:id="rId25" ref="J13"/>
    <hyperlink r:id="rId26" ref="A14"/>
    <hyperlink r:id="rId27" ref="J14"/>
    <hyperlink r:id="rId28" ref="A15"/>
    <hyperlink r:id="rId29" ref="J15"/>
    <hyperlink r:id="rId30" ref="A16"/>
    <hyperlink r:id="rId31" ref="J16"/>
    <hyperlink r:id="rId32" ref="A17"/>
    <hyperlink r:id="rId33" ref="J17"/>
    <hyperlink r:id="rId34" ref="A18"/>
    <hyperlink r:id="rId35" ref="A19"/>
    <hyperlink r:id="rId36" ref="J19"/>
    <hyperlink r:id="rId37" ref="A20"/>
    <hyperlink r:id="rId38" ref="J20"/>
    <hyperlink r:id="rId39" ref="A21"/>
    <hyperlink r:id="rId40" ref="J21"/>
    <hyperlink r:id="rId41" ref="A22"/>
    <hyperlink r:id="rId42" ref="J22"/>
    <hyperlink r:id="rId43" ref="A23"/>
    <hyperlink r:id="rId44" ref="J23"/>
    <hyperlink r:id="rId45" ref="A24"/>
    <hyperlink r:id="rId46" ref="J24"/>
    <hyperlink r:id="rId47" ref="A25"/>
    <hyperlink r:id="rId48" ref="J25"/>
    <hyperlink r:id="rId49" ref="A26"/>
    <hyperlink r:id="rId50" ref="J26"/>
    <hyperlink r:id="rId51" ref="A27"/>
    <hyperlink r:id="rId52" ref="J27"/>
    <hyperlink r:id="rId53" ref="A28"/>
    <hyperlink r:id="rId54" ref="J28"/>
    <hyperlink r:id="rId55" ref="A29"/>
    <hyperlink r:id="rId56" ref="J29"/>
    <hyperlink r:id="rId57" ref="A30"/>
    <hyperlink r:id="rId58" ref="J30"/>
    <hyperlink r:id="rId59" ref="A31"/>
    <hyperlink r:id="rId60" ref="A32"/>
    <hyperlink r:id="rId61" ref="J32"/>
    <hyperlink r:id="rId62" ref="A33"/>
    <hyperlink r:id="rId63" ref="A34"/>
    <hyperlink r:id="rId64" ref="J34"/>
    <hyperlink r:id="rId65" ref="A35"/>
    <hyperlink r:id="rId66" ref="J35"/>
    <hyperlink r:id="rId67" ref="A36"/>
    <hyperlink r:id="rId68" ref="J36"/>
    <hyperlink r:id="rId69" ref="A37"/>
    <hyperlink r:id="rId70" ref="A38"/>
    <hyperlink r:id="rId71" ref="A39"/>
    <hyperlink r:id="rId72" ref="A40"/>
    <hyperlink r:id="rId73" ref="A41"/>
    <hyperlink r:id="rId74" ref="A42"/>
    <hyperlink r:id="rId75" ref="A43"/>
    <hyperlink r:id="rId76" ref="J43"/>
    <hyperlink r:id="rId77" ref="A44"/>
    <hyperlink r:id="rId78" ref="A45"/>
    <hyperlink r:id="rId79" ref="A46"/>
    <hyperlink r:id="rId80" ref="J46"/>
    <hyperlink r:id="rId81" ref="A47"/>
    <hyperlink r:id="rId82" ref="J47"/>
    <hyperlink r:id="rId83" ref="A48"/>
    <hyperlink r:id="rId84" ref="J48"/>
    <hyperlink r:id="rId85" ref="A49"/>
    <hyperlink r:id="rId86" ref="J49"/>
    <hyperlink r:id="rId87" ref="J53"/>
  </hyperlinks>
  <printOptions gridLines="1" horizontalCentered="1"/>
  <pageMargins bottom="0.75" footer="0.0" header="0.0" left="0.7" right="0.7" top="0.75"/>
  <pageSetup fitToHeight="0" cellComments="atEnd" orientation="landscape" pageOrder="overThenDown"/>
  <drawing r:id="rId88"/>
  <legacyDrawing r:id="rId8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5"/>
    <col customWidth="1" min="2" max="2" width="21.13"/>
    <col customWidth="1" min="3" max="3" width="19.38"/>
    <col customWidth="1" min="4" max="4" width="13.75"/>
    <col customWidth="1" min="5" max="5" width="16.5"/>
    <col customWidth="1" min="6" max="6" width="15.0"/>
    <col customWidth="1" min="8" max="8" width="15.75"/>
    <col customWidth="1" min="9" max="9" width="32.75"/>
    <col customWidth="1" min="10" max="10" width="22.13"/>
    <col customWidth="1" min="12" max="12" width="14.75"/>
    <col customWidth="1" min="13" max="13" width="16.13"/>
    <col customWidth="1" min="14" max="14" width="15.75"/>
    <col customWidth="1" min="15" max="15" width="36.13"/>
    <col customWidth="1" min="16" max="16" width="33.88"/>
    <col customWidth="1" min="17" max="17" width="19.5"/>
    <col customWidth="1" min="18" max="18" width="58.75"/>
  </cols>
  <sheetData>
    <row r="1">
      <c r="A1" s="1" t="s">
        <v>0</v>
      </c>
      <c r="B1" s="1" t="s">
        <v>1</v>
      </c>
      <c r="C1" s="2" t="s">
        <v>2</v>
      </c>
      <c r="D1" s="2" t="s">
        <v>3</v>
      </c>
      <c r="E1" s="3" t="s">
        <v>4</v>
      </c>
      <c r="F1" s="4" t="s">
        <v>5</v>
      </c>
      <c r="G1" s="2" t="s">
        <v>6</v>
      </c>
      <c r="H1" s="2" t="s">
        <v>7</v>
      </c>
      <c r="I1" s="1" t="s">
        <v>8</v>
      </c>
      <c r="J1" s="1" t="s">
        <v>9</v>
      </c>
      <c r="K1" s="1" t="s">
        <v>10</v>
      </c>
      <c r="L1" s="1" t="s">
        <v>11</v>
      </c>
      <c r="M1" s="4" t="s">
        <v>12</v>
      </c>
      <c r="N1" s="4" t="s">
        <v>13</v>
      </c>
      <c r="O1" s="5" t="s">
        <v>14</v>
      </c>
      <c r="P1" s="5" t="s">
        <v>15</v>
      </c>
      <c r="Q1" s="1" t="s">
        <v>16</v>
      </c>
      <c r="R1" s="5" t="s">
        <v>17</v>
      </c>
      <c r="S1" s="5" t="s">
        <v>18</v>
      </c>
      <c r="W1" s="4"/>
    </row>
    <row r="2">
      <c r="A2" s="6" t="s">
        <v>20</v>
      </c>
      <c r="B2" s="7" t="s">
        <v>41</v>
      </c>
      <c r="C2" s="21" t="s">
        <v>42</v>
      </c>
      <c r="D2" s="9" t="s">
        <v>44</v>
      </c>
      <c r="E2" s="22">
        <v>0.18</v>
      </c>
      <c r="F2" s="22">
        <v>-0.51</v>
      </c>
      <c r="G2" s="16" t="s">
        <v>46</v>
      </c>
      <c r="H2" s="16" t="s">
        <v>48</v>
      </c>
      <c r="I2" s="10" t="s">
        <v>50</v>
      </c>
      <c r="J2" s="24" t="s">
        <v>51</v>
      </c>
      <c r="K2" s="10" t="s">
        <v>53</v>
      </c>
      <c r="L2" s="25">
        <v>4.2</v>
      </c>
      <c r="M2" s="14">
        <v>2052.0</v>
      </c>
      <c r="N2" s="19">
        <v>1100000.0</v>
      </c>
      <c r="O2" s="20" t="s">
        <v>31</v>
      </c>
      <c r="P2" s="20" t="s">
        <v>68</v>
      </c>
      <c r="Q2" s="7" t="s">
        <v>69</v>
      </c>
      <c r="R2" s="20" t="s">
        <v>70</v>
      </c>
      <c r="S2" s="20" t="s">
        <v>71</v>
      </c>
      <c r="W2" s="7"/>
    </row>
    <row r="3">
      <c r="A3" s="6" t="s">
        <v>55</v>
      </c>
      <c r="B3" s="7" t="s">
        <v>23</v>
      </c>
      <c r="C3" s="22">
        <v>0.02</v>
      </c>
      <c r="D3" s="22">
        <v>0.05</v>
      </c>
      <c r="E3" s="22"/>
      <c r="F3" s="13"/>
      <c r="G3" s="8" t="s">
        <v>66</v>
      </c>
      <c r="H3" s="9" t="s">
        <v>48</v>
      </c>
      <c r="I3" s="10" t="s">
        <v>26</v>
      </c>
      <c r="J3" s="24" t="s">
        <v>67</v>
      </c>
      <c r="K3" s="10"/>
      <c r="L3" s="25">
        <v>4.0</v>
      </c>
      <c r="M3" s="14">
        <v>21779.0</v>
      </c>
      <c r="N3" s="15">
        <v>2100000.0</v>
      </c>
      <c r="O3" s="20" t="s">
        <v>31</v>
      </c>
      <c r="P3" s="20" t="s">
        <v>37</v>
      </c>
      <c r="Q3" s="7" t="s">
        <v>97</v>
      </c>
      <c r="R3" s="20" t="s">
        <v>75</v>
      </c>
      <c r="S3" s="20" t="s">
        <v>77</v>
      </c>
      <c r="W3" s="7"/>
    </row>
    <row r="4">
      <c r="A4" s="6" t="s">
        <v>22</v>
      </c>
      <c r="B4" s="7" t="s">
        <v>41</v>
      </c>
      <c r="C4" s="21" t="s">
        <v>106</v>
      </c>
      <c r="D4" s="9" t="s">
        <v>107</v>
      </c>
      <c r="E4" s="9" t="s">
        <v>56</v>
      </c>
      <c r="F4" s="22"/>
      <c r="G4" s="11" t="s">
        <v>58</v>
      </c>
      <c r="H4" s="11" t="s">
        <v>48</v>
      </c>
      <c r="I4" s="10" t="s">
        <v>62</v>
      </c>
      <c r="J4" s="24" t="s">
        <v>64</v>
      </c>
      <c r="K4" s="10" t="s">
        <v>53</v>
      </c>
      <c r="L4" s="25">
        <v>4.7</v>
      </c>
      <c r="M4" s="14">
        <v>21685.0</v>
      </c>
      <c r="N4" s="15">
        <v>3100000.0</v>
      </c>
      <c r="O4" s="20" t="s">
        <v>57</v>
      </c>
      <c r="P4" s="20" t="s">
        <v>59</v>
      </c>
      <c r="Q4" s="7" t="s">
        <v>113</v>
      </c>
      <c r="R4" s="20" t="s">
        <v>94</v>
      </c>
      <c r="S4" s="20" t="s">
        <v>95</v>
      </c>
      <c r="W4" s="7"/>
    </row>
    <row r="5">
      <c r="A5" s="6" t="s">
        <v>19</v>
      </c>
      <c r="B5" s="7" t="s">
        <v>23</v>
      </c>
      <c r="C5" s="8">
        <v>0.0</v>
      </c>
      <c r="D5" s="9" t="s">
        <v>24</v>
      </c>
      <c r="E5" s="9"/>
      <c r="F5" s="10"/>
      <c r="G5" s="8">
        <v>0.0</v>
      </c>
      <c r="H5" s="8">
        <v>0.0</v>
      </c>
      <c r="I5" s="10" t="s">
        <v>26</v>
      </c>
      <c r="J5" s="6" t="s">
        <v>27</v>
      </c>
      <c r="K5" s="10"/>
      <c r="L5" s="12">
        <v>4.8</v>
      </c>
      <c r="M5" s="14">
        <v>35310.0</v>
      </c>
      <c r="N5" s="15">
        <v>3600000.0</v>
      </c>
      <c r="O5" s="20" t="s">
        <v>30</v>
      </c>
      <c r="P5" s="20" t="s">
        <v>32</v>
      </c>
      <c r="Q5" s="7" t="s">
        <v>97</v>
      </c>
      <c r="R5" s="20" t="s">
        <v>34</v>
      </c>
      <c r="S5" s="20" t="s">
        <v>35</v>
      </c>
      <c r="W5" s="7"/>
    </row>
    <row r="6">
      <c r="A6" s="6" t="s">
        <v>36</v>
      </c>
      <c r="B6" s="7" t="s">
        <v>43</v>
      </c>
      <c r="C6" s="9" t="s">
        <v>134</v>
      </c>
      <c r="D6" s="3"/>
      <c r="E6" s="3"/>
      <c r="F6" s="22">
        <v>-0.43</v>
      </c>
      <c r="G6" s="9" t="s">
        <v>45</v>
      </c>
      <c r="H6" s="9" t="s">
        <v>138</v>
      </c>
      <c r="I6" s="10" t="s">
        <v>26</v>
      </c>
      <c r="J6" s="23" t="s">
        <v>49</v>
      </c>
      <c r="K6" s="10"/>
      <c r="L6" s="25">
        <v>4.9</v>
      </c>
      <c r="M6" s="14">
        <v>7552.0</v>
      </c>
      <c r="N6" s="15">
        <v>1.12E7</v>
      </c>
      <c r="O6" s="20" t="s">
        <v>57</v>
      </c>
      <c r="P6" s="20" t="s">
        <v>59</v>
      </c>
      <c r="Q6" s="7" t="s">
        <v>141</v>
      </c>
      <c r="R6" s="20" t="s">
        <v>61</v>
      </c>
      <c r="S6" s="20" t="s">
        <v>63</v>
      </c>
      <c r="W6" s="7"/>
    </row>
    <row r="7">
      <c r="A7" s="6" t="s">
        <v>65</v>
      </c>
      <c r="B7" s="7" t="s">
        <v>43</v>
      </c>
      <c r="C7" s="9" t="s">
        <v>146</v>
      </c>
      <c r="D7" s="3"/>
      <c r="E7" s="3"/>
      <c r="F7" s="22">
        <v>-0.39</v>
      </c>
      <c r="G7" s="16" t="s">
        <v>72</v>
      </c>
      <c r="H7" s="16" t="s">
        <v>73</v>
      </c>
      <c r="I7" s="10" t="s">
        <v>26</v>
      </c>
      <c r="J7" s="24" t="s">
        <v>76</v>
      </c>
      <c r="K7" s="10"/>
      <c r="L7" s="18">
        <v>4.5</v>
      </c>
      <c r="M7" s="14">
        <v>1765.0</v>
      </c>
      <c r="N7" s="19">
        <v>790600.0</v>
      </c>
      <c r="O7" s="20" t="s">
        <v>57</v>
      </c>
      <c r="P7" s="20" t="s">
        <v>37</v>
      </c>
      <c r="Q7" s="7" t="s">
        <v>152</v>
      </c>
      <c r="R7" s="20" t="s">
        <v>81</v>
      </c>
      <c r="S7" s="20" t="s">
        <v>82</v>
      </c>
      <c r="W7" s="7"/>
    </row>
    <row r="8">
      <c r="A8" s="6" t="s">
        <v>155</v>
      </c>
      <c r="B8" s="7" t="s">
        <v>162</v>
      </c>
      <c r="C8" s="21" t="s">
        <v>164</v>
      </c>
      <c r="D8" s="9" t="s">
        <v>166</v>
      </c>
      <c r="E8" s="22">
        <v>0.14</v>
      </c>
      <c r="F8" s="9"/>
      <c r="G8" s="9" t="s">
        <v>168</v>
      </c>
      <c r="H8" s="11"/>
      <c r="I8" s="10" t="s">
        <v>170</v>
      </c>
      <c r="J8" s="24" t="s">
        <v>171</v>
      </c>
      <c r="K8" s="10" t="s">
        <v>53</v>
      </c>
      <c r="L8" s="18">
        <v>4.8</v>
      </c>
      <c r="M8" s="14">
        <v>126.0</v>
      </c>
      <c r="N8" s="19">
        <v>95500.0</v>
      </c>
      <c r="O8" s="20" t="s">
        <v>180</v>
      </c>
      <c r="P8" s="28"/>
      <c r="Q8" s="7" t="s">
        <v>69</v>
      </c>
      <c r="R8" s="20" t="s">
        <v>182</v>
      </c>
      <c r="W8" s="10"/>
    </row>
    <row r="9">
      <c r="A9" s="6" t="s">
        <v>21</v>
      </c>
      <c r="B9" s="7" t="s">
        <v>25</v>
      </c>
      <c r="C9" s="11"/>
      <c r="D9" s="8">
        <v>0.05</v>
      </c>
      <c r="E9" s="8"/>
      <c r="F9" s="13"/>
      <c r="G9" s="8">
        <v>0.04</v>
      </c>
      <c r="H9" s="16" t="s">
        <v>28</v>
      </c>
      <c r="I9" s="10" t="s">
        <v>26</v>
      </c>
      <c r="J9" s="17" t="s">
        <v>29</v>
      </c>
      <c r="K9" s="10"/>
      <c r="L9" s="18">
        <v>3.9</v>
      </c>
      <c r="M9" s="14">
        <v>2914.0</v>
      </c>
      <c r="N9" s="19">
        <v>571600.0</v>
      </c>
      <c r="O9" s="20" t="s">
        <v>31</v>
      </c>
      <c r="P9" s="20" t="s">
        <v>37</v>
      </c>
      <c r="Q9" s="7" t="s">
        <v>97</v>
      </c>
      <c r="R9" s="20" t="s">
        <v>39</v>
      </c>
      <c r="S9" s="20" t="s">
        <v>40</v>
      </c>
      <c r="W9" s="7"/>
    </row>
    <row r="10">
      <c r="A10" s="6" t="s">
        <v>193</v>
      </c>
      <c r="B10" s="20" t="s">
        <v>201</v>
      </c>
      <c r="C10" s="9"/>
      <c r="D10" s="22">
        <v>0.01</v>
      </c>
      <c r="E10" s="22"/>
      <c r="G10" s="22">
        <v>0.0</v>
      </c>
      <c r="H10" s="9" t="s">
        <v>132</v>
      </c>
      <c r="I10" s="10" t="s">
        <v>26</v>
      </c>
      <c r="J10" s="6" t="s">
        <v>200</v>
      </c>
      <c r="K10" s="7" t="s">
        <v>53</v>
      </c>
      <c r="L10" s="25">
        <v>4.1</v>
      </c>
      <c r="M10" s="14">
        <v>45.0</v>
      </c>
      <c r="N10" s="15">
        <v>22300.0</v>
      </c>
      <c r="O10" s="7" t="s">
        <v>142</v>
      </c>
      <c r="P10" s="10" t="s">
        <v>142</v>
      </c>
      <c r="Q10" s="7" t="s">
        <v>207</v>
      </c>
      <c r="R10" s="20" t="s">
        <v>203</v>
      </c>
      <c r="S10" s="20" t="s">
        <v>204</v>
      </c>
    </row>
    <row r="11">
      <c r="A11" s="6" t="s">
        <v>118</v>
      </c>
      <c r="B11" s="7" t="s">
        <v>43</v>
      </c>
      <c r="C11" s="3"/>
      <c r="D11" s="3"/>
      <c r="E11" s="3"/>
      <c r="F11" s="22">
        <v>-0.61</v>
      </c>
      <c r="G11" s="9" t="s">
        <v>132</v>
      </c>
      <c r="H11" s="36">
        <v>1.0</v>
      </c>
      <c r="I11" s="10" t="s">
        <v>26</v>
      </c>
      <c r="J11" s="17" t="s">
        <v>139</v>
      </c>
      <c r="K11" s="10"/>
      <c r="L11" s="26">
        <v>4.2</v>
      </c>
      <c r="M11" s="12">
        <v>932.0</v>
      </c>
      <c r="N11" s="19">
        <v>599500.0</v>
      </c>
      <c r="O11" s="20" t="s">
        <v>142</v>
      </c>
      <c r="P11" s="20" t="s">
        <v>142</v>
      </c>
      <c r="Q11" s="7" t="s">
        <v>141</v>
      </c>
      <c r="R11" s="20" t="s">
        <v>144</v>
      </c>
      <c r="S11" s="20" t="s">
        <v>145</v>
      </c>
      <c r="W11" s="7"/>
    </row>
    <row r="12">
      <c r="A12" s="6" t="s">
        <v>149</v>
      </c>
      <c r="B12" s="7" t="s">
        <v>43</v>
      </c>
      <c r="C12" s="9" t="s">
        <v>225</v>
      </c>
      <c r="D12" s="3"/>
      <c r="E12" s="3"/>
      <c r="F12" s="22">
        <v>-0.41</v>
      </c>
      <c r="G12" s="16" t="s">
        <v>173</v>
      </c>
      <c r="H12" s="16" t="s">
        <v>177</v>
      </c>
      <c r="I12" s="7" t="s">
        <v>179</v>
      </c>
      <c r="J12" s="24" t="s">
        <v>181</v>
      </c>
      <c r="K12" s="10"/>
      <c r="L12" s="25">
        <v>4.2</v>
      </c>
      <c r="M12" s="14">
        <v>1918.0</v>
      </c>
      <c r="N12" s="19">
        <v>370700.0</v>
      </c>
      <c r="O12" s="20" t="s">
        <v>142</v>
      </c>
      <c r="P12" s="20" t="s">
        <v>37</v>
      </c>
      <c r="Q12" s="7" t="s">
        <v>141</v>
      </c>
      <c r="R12" s="20" t="s">
        <v>196</v>
      </c>
      <c r="S12" s="20" t="s">
        <v>197</v>
      </c>
    </row>
    <row r="13">
      <c r="A13" s="6" t="s">
        <v>124</v>
      </c>
      <c r="B13" s="7" t="s">
        <v>127</v>
      </c>
      <c r="C13" s="9"/>
      <c r="D13" s="9"/>
      <c r="E13" s="9"/>
      <c r="F13" s="22">
        <v>-0.53</v>
      </c>
      <c r="G13" s="9"/>
      <c r="H13" s="9" t="s">
        <v>130</v>
      </c>
      <c r="I13" s="7" t="s">
        <v>131</v>
      </c>
      <c r="J13" s="17" t="s">
        <v>133</v>
      </c>
      <c r="K13" s="7" t="s">
        <v>53</v>
      </c>
      <c r="L13" s="25">
        <v>4.5</v>
      </c>
      <c r="M13" s="18">
        <v>309.0</v>
      </c>
      <c r="N13" s="19">
        <v>114100.0</v>
      </c>
      <c r="O13" s="28"/>
      <c r="P13" s="20" t="s">
        <v>37</v>
      </c>
      <c r="Q13" s="7" t="s">
        <v>97</v>
      </c>
      <c r="S13" s="20" t="s">
        <v>137</v>
      </c>
      <c r="W13" s="10"/>
    </row>
    <row r="14">
      <c r="A14" s="6" t="s">
        <v>174</v>
      </c>
      <c r="B14" s="7" t="s">
        <v>127</v>
      </c>
      <c r="C14" s="9"/>
      <c r="D14" s="9"/>
      <c r="E14" s="9"/>
      <c r="F14" s="22">
        <v>-0.35</v>
      </c>
      <c r="G14" s="9"/>
      <c r="H14" s="9" t="s">
        <v>257</v>
      </c>
      <c r="I14" s="10" t="s">
        <v>186</v>
      </c>
      <c r="J14" s="24" t="s">
        <v>187</v>
      </c>
      <c r="K14" s="10" t="s">
        <v>53</v>
      </c>
      <c r="L14" s="25">
        <v>4.2</v>
      </c>
      <c r="M14" s="14">
        <v>2196.0</v>
      </c>
      <c r="N14" s="19">
        <v>81100.0</v>
      </c>
      <c r="O14" s="28"/>
      <c r="P14" s="20" t="s">
        <v>68</v>
      </c>
      <c r="Q14" s="7" t="s">
        <v>258</v>
      </c>
      <c r="S14" s="20" t="s">
        <v>192</v>
      </c>
      <c r="W14" s="10"/>
    </row>
    <row r="15">
      <c r="A15" s="6" t="s">
        <v>259</v>
      </c>
      <c r="B15" s="7" t="s">
        <v>41</v>
      </c>
      <c r="C15" s="21" t="s">
        <v>265</v>
      </c>
      <c r="D15" s="9" t="s">
        <v>266</v>
      </c>
      <c r="E15" s="22">
        <v>0.13</v>
      </c>
      <c r="F15" s="22">
        <v>-0.43</v>
      </c>
      <c r="G15" s="9" t="s">
        <v>116</v>
      </c>
      <c r="H15" s="9" t="s">
        <v>267</v>
      </c>
      <c r="I15" s="10" t="s">
        <v>268</v>
      </c>
      <c r="J15" s="24" t="s">
        <v>269</v>
      </c>
      <c r="K15" s="10" t="s">
        <v>53</v>
      </c>
      <c r="L15" s="18">
        <v>4.2</v>
      </c>
      <c r="M15" s="14">
        <v>351.0</v>
      </c>
      <c r="N15" s="19">
        <v>22100.0</v>
      </c>
      <c r="O15" s="20" t="s">
        <v>31</v>
      </c>
      <c r="P15" s="20" t="s">
        <v>68</v>
      </c>
      <c r="Q15" s="7" t="s">
        <v>69</v>
      </c>
      <c r="R15" s="20" t="s">
        <v>274</v>
      </c>
      <c r="S15" s="20" t="s">
        <v>275</v>
      </c>
      <c r="W15" s="7"/>
    </row>
    <row r="16">
      <c r="A16" s="6" t="s">
        <v>143</v>
      </c>
      <c r="B16" s="10" t="s">
        <v>147</v>
      </c>
      <c r="C16" s="22">
        <v>0.0</v>
      </c>
      <c r="D16" s="8">
        <v>0.06</v>
      </c>
      <c r="E16" s="8"/>
      <c r="F16" s="13"/>
      <c r="G16" s="8" t="s">
        <v>48</v>
      </c>
      <c r="H16" s="8" t="s">
        <v>150</v>
      </c>
      <c r="I16" s="10" t="s">
        <v>26</v>
      </c>
      <c r="J16" s="24" t="s">
        <v>151</v>
      </c>
      <c r="K16" s="10"/>
      <c r="L16" s="25">
        <v>2.3</v>
      </c>
      <c r="M16" s="18">
        <v>446.0</v>
      </c>
      <c r="N16" s="19">
        <v>201900.0</v>
      </c>
      <c r="O16" s="20" t="s">
        <v>57</v>
      </c>
      <c r="P16" s="20" t="s">
        <v>142</v>
      </c>
      <c r="Q16" s="7" t="s">
        <v>97</v>
      </c>
      <c r="R16" s="20" t="s">
        <v>154</v>
      </c>
      <c r="S16" s="20" t="s">
        <v>156</v>
      </c>
      <c r="W16" s="7"/>
    </row>
    <row r="17">
      <c r="A17" s="6" t="s">
        <v>231</v>
      </c>
      <c r="B17" s="7" t="s">
        <v>201</v>
      </c>
      <c r="C17" s="22">
        <v>0.0</v>
      </c>
      <c r="D17" s="22">
        <v>0.05</v>
      </c>
      <c r="E17" s="22"/>
      <c r="F17" s="22">
        <v>-0.34</v>
      </c>
      <c r="G17" s="16" t="s">
        <v>45</v>
      </c>
      <c r="H17" s="8">
        <v>0.05</v>
      </c>
      <c r="I17" s="10" t="s">
        <v>26</v>
      </c>
      <c r="J17" s="24" t="s">
        <v>242</v>
      </c>
      <c r="K17" s="10"/>
      <c r="L17" s="25">
        <v>4.0</v>
      </c>
      <c r="M17" s="18">
        <v>865.0</v>
      </c>
      <c r="N17" s="19">
        <v>255300.0</v>
      </c>
      <c r="O17" s="20" t="s">
        <v>57</v>
      </c>
      <c r="P17" s="20" t="s">
        <v>59</v>
      </c>
      <c r="Q17" s="10" t="s">
        <v>158</v>
      </c>
      <c r="R17" s="20" t="s">
        <v>249</v>
      </c>
      <c r="S17" s="20" t="s">
        <v>250</v>
      </c>
      <c r="W17" s="7"/>
    </row>
    <row r="18">
      <c r="A18" s="6" t="s">
        <v>110</v>
      </c>
      <c r="B18" s="7" t="s">
        <v>254</v>
      </c>
      <c r="C18" s="9" t="s">
        <v>306</v>
      </c>
      <c r="D18" s="8">
        <v>0.02</v>
      </c>
      <c r="E18" s="8"/>
      <c r="F18" s="22">
        <v>-0.42</v>
      </c>
      <c r="G18" s="9" t="s">
        <v>28</v>
      </c>
      <c r="H18" s="9" t="s">
        <v>117</v>
      </c>
      <c r="I18" s="10" t="s">
        <v>26</v>
      </c>
      <c r="J18" s="6" t="s">
        <v>119</v>
      </c>
      <c r="K18" s="10"/>
      <c r="L18" s="25">
        <v>4.5</v>
      </c>
      <c r="M18" s="18">
        <v>455.0</v>
      </c>
      <c r="N18" s="19">
        <v>27800.0</v>
      </c>
      <c r="O18" s="20" t="s">
        <v>31</v>
      </c>
      <c r="P18" s="20" t="s">
        <v>59</v>
      </c>
      <c r="Q18" s="10" t="s">
        <v>120</v>
      </c>
      <c r="R18" s="20" t="s">
        <v>122</v>
      </c>
      <c r="S18" s="20" t="s">
        <v>123</v>
      </c>
      <c r="W18" s="7"/>
    </row>
    <row r="19">
      <c r="A19" s="6" t="s">
        <v>157</v>
      </c>
      <c r="B19" s="7" t="s">
        <v>127</v>
      </c>
      <c r="C19" s="9"/>
      <c r="D19" s="9"/>
      <c r="E19" s="9"/>
      <c r="F19" s="22">
        <v>-0.46</v>
      </c>
      <c r="G19" s="9"/>
      <c r="H19" s="9" t="s">
        <v>161</v>
      </c>
      <c r="I19" s="7" t="s">
        <v>163</v>
      </c>
      <c r="J19" s="6" t="s">
        <v>165</v>
      </c>
      <c r="K19" s="10"/>
      <c r="L19" s="25">
        <v>3.8</v>
      </c>
      <c r="M19" s="14">
        <v>9706.0</v>
      </c>
      <c r="N19" s="19">
        <v>235300.0</v>
      </c>
      <c r="O19" s="28"/>
      <c r="P19" s="20" t="s">
        <v>37</v>
      </c>
      <c r="Q19" s="7" t="s">
        <v>97</v>
      </c>
      <c r="S19" s="20" t="s">
        <v>172</v>
      </c>
      <c r="W19" s="10"/>
    </row>
    <row r="20">
      <c r="A20" s="24" t="s">
        <v>284</v>
      </c>
      <c r="B20" s="7" t="s">
        <v>43</v>
      </c>
      <c r="C20" s="9" t="s">
        <v>320</v>
      </c>
      <c r="D20" s="3"/>
      <c r="E20" s="3"/>
      <c r="F20" s="22">
        <v>-0.44</v>
      </c>
      <c r="G20" s="16" t="s">
        <v>293</v>
      </c>
      <c r="H20" s="16" t="s">
        <v>294</v>
      </c>
      <c r="I20" s="10" t="s">
        <v>26</v>
      </c>
      <c r="J20" s="10"/>
      <c r="K20" s="10"/>
      <c r="L20" s="25">
        <v>4.7</v>
      </c>
      <c r="M20" s="14">
        <v>4015.0</v>
      </c>
      <c r="N20" s="19">
        <v>1100000.0</v>
      </c>
      <c r="O20" s="20" t="s">
        <v>31</v>
      </c>
      <c r="P20" s="20" t="s">
        <v>59</v>
      </c>
      <c r="Q20" s="7" t="s">
        <v>141</v>
      </c>
      <c r="R20" s="20" t="s">
        <v>297</v>
      </c>
      <c r="S20" s="20" t="s">
        <v>298</v>
      </c>
      <c r="W20" s="7"/>
    </row>
    <row r="21">
      <c r="A21" s="24" t="s">
        <v>247</v>
      </c>
      <c r="B21" s="7" t="s">
        <v>162</v>
      </c>
      <c r="C21" s="21" t="s">
        <v>325</v>
      </c>
      <c r="D21" s="9" t="s">
        <v>326</v>
      </c>
      <c r="E21" s="22">
        <v>0.05</v>
      </c>
      <c r="F21" s="9"/>
      <c r="G21" s="22">
        <v>0.0</v>
      </c>
      <c r="H21" s="11"/>
      <c r="I21" s="10" t="s">
        <v>26</v>
      </c>
      <c r="J21" s="10"/>
      <c r="K21" s="10"/>
      <c r="L21" s="25">
        <v>4.6</v>
      </c>
      <c r="M21" s="14">
        <v>1379.0</v>
      </c>
      <c r="N21" s="19">
        <v>209600.0</v>
      </c>
      <c r="O21" s="20" t="s">
        <v>57</v>
      </c>
      <c r="P21" s="28"/>
      <c r="Q21" s="7" t="s">
        <v>97</v>
      </c>
      <c r="R21" s="20" t="s">
        <v>255</v>
      </c>
      <c r="W21" s="7"/>
    </row>
    <row r="22">
      <c r="A22" s="6" t="s">
        <v>236</v>
      </c>
      <c r="B22" s="7" t="s">
        <v>239</v>
      </c>
      <c r="C22" s="21" t="s">
        <v>240</v>
      </c>
      <c r="D22" s="32" t="s">
        <v>336</v>
      </c>
      <c r="E22" s="41">
        <v>0.1</v>
      </c>
      <c r="F22" s="22">
        <v>-0.48</v>
      </c>
      <c r="G22" s="22">
        <v>0.0</v>
      </c>
      <c r="H22" s="22">
        <v>0.0</v>
      </c>
      <c r="I22" s="10" t="s">
        <v>26</v>
      </c>
      <c r="J22" s="23" t="s">
        <v>243</v>
      </c>
      <c r="K22" s="10"/>
      <c r="L22" s="18">
        <v>4.3</v>
      </c>
      <c r="M22" s="14">
        <v>2456.0</v>
      </c>
      <c r="N22" s="19">
        <v>329400.0</v>
      </c>
      <c r="O22" s="20" t="s">
        <v>31</v>
      </c>
      <c r="P22" s="20" t="s">
        <v>59</v>
      </c>
      <c r="Q22" s="7" t="s">
        <v>207</v>
      </c>
      <c r="R22" s="20" t="s">
        <v>245</v>
      </c>
      <c r="S22" s="20" t="s">
        <v>246</v>
      </c>
      <c r="W22" s="7"/>
    </row>
    <row r="23">
      <c r="A23" s="6" t="s">
        <v>264</v>
      </c>
      <c r="B23" s="7" t="s">
        <v>102</v>
      </c>
      <c r="C23" s="21" t="s">
        <v>341</v>
      </c>
      <c r="D23" s="9" t="s">
        <v>342</v>
      </c>
      <c r="E23" s="22">
        <v>0.08</v>
      </c>
      <c r="F23" s="9"/>
      <c r="G23" s="22">
        <v>0.0</v>
      </c>
      <c r="H23" s="11"/>
      <c r="I23" s="7" t="s">
        <v>272</v>
      </c>
      <c r="J23" s="34" t="s">
        <v>273</v>
      </c>
      <c r="K23" s="7" t="s">
        <v>53</v>
      </c>
      <c r="L23" s="25">
        <v>4.4</v>
      </c>
      <c r="M23" s="14">
        <v>335.0</v>
      </c>
      <c r="N23" s="19">
        <v>176100.0</v>
      </c>
      <c r="O23" s="20" t="s">
        <v>30</v>
      </c>
      <c r="P23" s="28"/>
      <c r="Q23" s="7" t="s">
        <v>97</v>
      </c>
      <c r="R23" s="20" t="s">
        <v>276</v>
      </c>
      <c r="W23" s="7"/>
    </row>
    <row r="24">
      <c r="A24" s="33" t="s">
        <v>345</v>
      </c>
      <c r="B24" s="20" t="s">
        <v>127</v>
      </c>
      <c r="D24" s="9"/>
      <c r="E24" s="9"/>
      <c r="F24" s="22">
        <v>-0.39</v>
      </c>
      <c r="G24" s="42"/>
      <c r="H24" s="21" t="s">
        <v>48</v>
      </c>
      <c r="I24" s="20" t="s">
        <v>91</v>
      </c>
      <c r="J24" s="34" t="s">
        <v>351</v>
      </c>
      <c r="K24" s="20" t="s">
        <v>53</v>
      </c>
      <c r="L24" s="38">
        <v>4.4</v>
      </c>
      <c r="M24" s="43">
        <v>18.0</v>
      </c>
      <c r="N24" s="20">
        <v>60.0</v>
      </c>
      <c r="P24" s="20" t="s">
        <v>260</v>
      </c>
      <c r="Q24" s="20" t="s">
        <v>69</v>
      </c>
      <c r="S24" s="20" t="s">
        <v>353</v>
      </c>
    </row>
    <row r="25">
      <c r="A25" s="24"/>
      <c r="B25" s="7"/>
      <c r="C25" s="9"/>
      <c r="D25" s="9"/>
      <c r="E25" s="9"/>
      <c r="F25" s="9"/>
      <c r="G25" s="9"/>
      <c r="H25" s="9"/>
      <c r="I25" s="10"/>
      <c r="J25" s="10"/>
      <c r="K25" s="10"/>
      <c r="L25" s="12"/>
      <c r="M25" s="19"/>
      <c r="N25" s="15"/>
      <c r="O25" s="20" t="s">
        <v>327</v>
      </c>
      <c r="Q25" s="7"/>
      <c r="W25" s="7"/>
    </row>
    <row r="29">
      <c r="J29" s="34" t="s">
        <v>357</v>
      </c>
    </row>
    <row r="30">
      <c r="J30" s="20" t="s">
        <v>334</v>
      </c>
    </row>
  </sheetData>
  <dataValidations>
    <dataValidation type="list" allowBlank="1" showErrorMessage="1" sqref="O2:O23">
      <formula1>"PayPal,Crypto,Debit/Credit Card,PayPal, Crypto,Paypal, Debit/Credit Card,Crypto, Debit/Credit Card,PayPal, Crypto, Debit/Credit Card"</formula1>
    </dataValidation>
    <dataValidation type="list" allowBlank="1" showErrorMessage="1" sqref="P2:P24">
      <formula1>"PayPal,Crypto,Bank,PayPal, Crypto,Paypal, Bank,Crypto, Bank,PayPal, Crypto, Bank"</formula1>
    </dataValidation>
  </dataValidations>
  <hyperlinks>
    <hyperlink r:id="rId2" ref="A2"/>
    <hyperlink r:id="rId3" ref="J2"/>
    <hyperlink r:id="rId4" ref="A3"/>
    <hyperlink r:id="rId5" ref="J3"/>
    <hyperlink r:id="rId6" ref="A4"/>
    <hyperlink r:id="rId7" ref="J4"/>
    <hyperlink r:id="rId8" ref="A5"/>
    <hyperlink r:id="rId9" ref="J5"/>
    <hyperlink r:id="rId10" ref="A6"/>
    <hyperlink r:id="rId11" ref="J6"/>
    <hyperlink r:id="rId12" ref="A7"/>
    <hyperlink r:id="rId13" ref="J7"/>
    <hyperlink r:id="rId14" ref="A8"/>
    <hyperlink r:id="rId15" ref="J8"/>
    <hyperlink r:id="rId16" ref="A9"/>
    <hyperlink r:id="rId17" ref="J9"/>
    <hyperlink r:id="rId18" ref="A10"/>
    <hyperlink r:id="rId19" ref="J10"/>
    <hyperlink r:id="rId20" ref="A11"/>
    <hyperlink r:id="rId21" ref="J11"/>
    <hyperlink r:id="rId22" ref="A12"/>
    <hyperlink r:id="rId23" ref="J12"/>
    <hyperlink r:id="rId24" ref="A13"/>
    <hyperlink r:id="rId25" ref="J13"/>
    <hyperlink r:id="rId26" ref="A14"/>
    <hyperlink r:id="rId27" ref="J14"/>
    <hyperlink r:id="rId28" ref="A15"/>
    <hyperlink r:id="rId29" ref="J15"/>
    <hyperlink r:id="rId30" ref="A16"/>
    <hyperlink r:id="rId31" ref="J16"/>
    <hyperlink r:id="rId32" ref="A17"/>
    <hyperlink r:id="rId33" ref="J17"/>
    <hyperlink r:id="rId34" ref="A18"/>
    <hyperlink r:id="rId35" ref="J18"/>
    <hyperlink r:id="rId36" ref="A19"/>
    <hyperlink r:id="rId37" ref="J19"/>
    <hyperlink r:id="rId38" ref="A20"/>
    <hyperlink r:id="rId39" ref="A21"/>
    <hyperlink r:id="rId40" ref="A22"/>
    <hyperlink r:id="rId41" ref="J22"/>
    <hyperlink r:id="rId42" ref="A23"/>
    <hyperlink r:id="rId43" ref="J23"/>
    <hyperlink r:id="rId44" ref="A24"/>
    <hyperlink r:id="rId45" ref="J24"/>
    <hyperlink r:id="rId46" ref="J29"/>
  </hyperlinks>
  <printOptions gridLines="1" horizontalCentered="1"/>
  <pageMargins bottom="0.75" footer="0.0" header="0.0" left="0.7" right="0.7" top="0.75"/>
  <pageSetup fitToHeight="0" cellComments="atEnd" orientation="landscape" pageOrder="overThenDown"/>
  <drawing r:id="rId47"/>
  <legacyDrawing r:id="rId4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1.25"/>
    <col customWidth="1" min="2" max="2" width="24.75"/>
    <col customWidth="1" min="3" max="3" width="18.88"/>
    <col customWidth="1" min="4" max="4" width="14.0"/>
    <col customWidth="1" min="5" max="5" width="15.75"/>
    <col customWidth="1" min="6" max="6" width="14.63"/>
    <col customWidth="1" min="9" max="9" width="33.13"/>
    <col customWidth="1" min="10" max="10" width="23.13"/>
    <col customWidth="1" min="11" max="11" width="12.13"/>
    <col customWidth="1" min="12" max="12" width="15.75"/>
    <col customWidth="1" min="13" max="13" width="15.5"/>
    <col customWidth="1" min="14" max="14" width="13.63"/>
    <col customWidth="1" min="15" max="15" width="36.38"/>
    <col customWidth="1" min="16" max="16" width="33.5"/>
    <col customWidth="1" min="17" max="17" width="19.63"/>
    <col customWidth="1" min="18" max="18" width="50.63"/>
  </cols>
  <sheetData>
    <row r="1">
      <c r="A1" s="1" t="s">
        <v>0</v>
      </c>
      <c r="B1" s="1" t="s">
        <v>1</v>
      </c>
      <c r="C1" s="2" t="s">
        <v>2</v>
      </c>
      <c r="D1" s="2" t="s">
        <v>3</v>
      </c>
      <c r="E1" s="3" t="s">
        <v>4</v>
      </c>
      <c r="F1" s="4" t="s">
        <v>5</v>
      </c>
      <c r="G1" s="2" t="s">
        <v>6</v>
      </c>
      <c r="H1" s="2" t="s">
        <v>7</v>
      </c>
      <c r="I1" s="1" t="s">
        <v>8</v>
      </c>
      <c r="J1" s="1" t="s">
        <v>9</v>
      </c>
      <c r="K1" s="1" t="s">
        <v>10</v>
      </c>
      <c r="L1" s="1" t="s">
        <v>11</v>
      </c>
      <c r="M1" s="4" t="s">
        <v>12</v>
      </c>
      <c r="N1" s="4" t="s">
        <v>13</v>
      </c>
      <c r="O1" s="5" t="s">
        <v>14</v>
      </c>
      <c r="P1" s="5" t="s">
        <v>15</v>
      </c>
      <c r="Q1" s="1" t="s">
        <v>16</v>
      </c>
      <c r="R1" s="5" t="s">
        <v>17</v>
      </c>
      <c r="S1" s="5" t="s">
        <v>18</v>
      </c>
      <c r="W1" s="4"/>
    </row>
    <row r="2">
      <c r="A2" s="6" t="s">
        <v>21</v>
      </c>
      <c r="B2" s="7" t="s">
        <v>25</v>
      </c>
      <c r="C2" s="11"/>
      <c r="D2" s="8">
        <v>0.05</v>
      </c>
      <c r="E2" s="8"/>
      <c r="F2" s="13"/>
      <c r="G2" s="8">
        <v>0.04</v>
      </c>
      <c r="H2" s="16" t="s">
        <v>28</v>
      </c>
      <c r="I2" s="10" t="s">
        <v>26</v>
      </c>
      <c r="J2" s="17" t="s">
        <v>29</v>
      </c>
      <c r="K2" s="10"/>
      <c r="L2" s="18">
        <v>3.9</v>
      </c>
      <c r="M2" s="14">
        <v>2914.0</v>
      </c>
      <c r="N2" s="19">
        <v>571600.0</v>
      </c>
      <c r="O2" s="20" t="s">
        <v>31</v>
      </c>
      <c r="P2" s="20" t="s">
        <v>37</v>
      </c>
      <c r="Q2" s="7" t="s">
        <v>38</v>
      </c>
      <c r="R2" s="20" t="s">
        <v>39</v>
      </c>
      <c r="S2" s="20" t="s">
        <v>40</v>
      </c>
      <c r="W2" s="7"/>
    </row>
    <row r="3">
      <c r="A3" s="6" t="s">
        <v>19</v>
      </c>
      <c r="B3" s="7" t="s">
        <v>23</v>
      </c>
      <c r="C3" s="8">
        <v>0.0</v>
      </c>
      <c r="D3" s="9" t="s">
        <v>24</v>
      </c>
      <c r="E3" s="9"/>
      <c r="F3" s="10"/>
      <c r="G3" s="8">
        <v>0.0</v>
      </c>
      <c r="H3" s="8">
        <v>0.0</v>
      </c>
      <c r="I3" s="10" t="s">
        <v>26</v>
      </c>
      <c r="J3" s="6" t="s">
        <v>27</v>
      </c>
      <c r="K3" s="10"/>
      <c r="L3" s="12">
        <v>4.8</v>
      </c>
      <c r="M3" s="14">
        <v>35310.0</v>
      </c>
      <c r="N3" s="15">
        <v>3600000.0</v>
      </c>
      <c r="O3" s="20" t="s">
        <v>30</v>
      </c>
      <c r="P3" s="20" t="s">
        <v>32</v>
      </c>
      <c r="Q3" s="7" t="s">
        <v>38</v>
      </c>
      <c r="R3" s="20" t="s">
        <v>34</v>
      </c>
      <c r="S3" s="20" t="s">
        <v>35</v>
      </c>
      <c r="W3" s="7"/>
    </row>
    <row r="4">
      <c r="A4" s="6" t="s">
        <v>55</v>
      </c>
      <c r="B4" s="7" t="s">
        <v>23</v>
      </c>
      <c r="C4" s="22">
        <v>0.02</v>
      </c>
      <c r="D4" s="22">
        <v>0.05</v>
      </c>
      <c r="E4" s="22"/>
      <c r="F4" s="13"/>
      <c r="G4" s="8" t="s">
        <v>66</v>
      </c>
      <c r="H4" s="9" t="s">
        <v>48</v>
      </c>
      <c r="I4" s="10" t="s">
        <v>26</v>
      </c>
      <c r="J4" s="24" t="s">
        <v>67</v>
      </c>
      <c r="K4" s="10"/>
      <c r="L4" s="25">
        <v>4.0</v>
      </c>
      <c r="M4" s="14">
        <v>21779.0</v>
      </c>
      <c r="N4" s="15">
        <v>2100000.0</v>
      </c>
      <c r="O4" s="20" t="s">
        <v>31</v>
      </c>
      <c r="P4" s="20" t="s">
        <v>37</v>
      </c>
      <c r="Q4" s="7" t="s">
        <v>38</v>
      </c>
      <c r="R4" s="20" t="s">
        <v>75</v>
      </c>
      <c r="S4" s="20" t="s">
        <v>77</v>
      </c>
      <c r="W4" s="7"/>
    </row>
    <row r="5">
      <c r="A5" s="6" t="s">
        <v>22</v>
      </c>
      <c r="B5" s="7" t="s">
        <v>41</v>
      </c>
      <c r="C5" s="21" t="s">
        <v>83</v>
      </c>
      <c r="D5" s="9" t="s">
        <v>84</v>
      </c>
      <c r="E5" s="9" t="s">
        <v>85</v>
      </c>
      <c r="F5" s="22"/>
      <c r="G5" s="11" t="s">
        <v>58</v>
      </c>
      <c r="H5" s="11" t="s">
        <v>48</v>
      </c>
      <c r="I5" s="10" t="s">
        <v>62</v>
      </c>
      <c r="J5" s="24" t="s">
        <v>64</v>
      </c>
      <c r="K5" s="10" t="s">
        <v>53</v>
      </c>
      <c r="L5" s="25">
        <v>4.7</v>
      </c>
      <c r="M5" s="14">
        <v>21685.0</v>
      </c>
      <c r="N5" s="15">
        <v>3100000.0</v>
      </c>
      <c r="O5" s="20" t="s">
        <v>57</v>
      </c>
      <c r="P5" s="20" t="s">
        <v>59</v>
      </c>
      <c r="Q5" s="7" t="s">
        <v>93</v>
      </c>
      <c r="R5" s="20" t="s">
        <v>94</v>
      </c>
      <c r="S5" s="20" t="s">
        <v>95</v>
      </c>
      <c r="W5" s="7"/>
    </row>
    <row r="6">
      <c r="A6" s="6" t="s">
        <v>65</v>
      </c>
      <c r="B6" s="7" t="s">
        <v>43</v>
      </c>
      <c r="C6" s="9" t="s">
        <v>100</v>
      </c>
      <c r="D6" s="3"/>
      <c r="E6" s="3"/>
      <c r="F6" s="22">
        <v>-0.31</v>
      </c>
      <c r="G6" s="16" t="s">
        <v>72</v>
      </c>
      <c r="H6" s="16" t="s">
        <v>73</v>
      </c>
      <c r="I6" s="10" t="s">
        <v>26</v>
      </c>
      <c r="J6" s="24" t="s">
        <v>76</v>
      </c>
      <c r="K6" s="10"/>
      <c r="L6" s="18">
        <v>4.5</v>
      </c>
      <c r="M6" s="14">
        <v>1765.0</v>
      </c>
      <c r="N6" s="19">
        <v>790600.0</v>
      </c>
      <c r="O6" s="20" t="s">
        <v>57</v>
      </c>
      <c r="P6" s="20" t="s">
        <v>37</v>
      </c>
      <c r="Q6" s="7" t="s">
        <v>38</v>
      </c>
      <c r="R6" s="20" t="s">
        <v>81</v>
      </c>
      <c r="S6" s="20" t="s">
        <v>82</v>
      </c>
      <c r="W6" s="7"/>
    </row>
    <row r="7">
      <c r="A7" s="6" t="s">
        <v>110</v>
      </c>
      <c r="B7" s="7" t="s">
        <v>114</v>
      </c>
      <c r="C7" s="9" t="s">
        <v>115</v>
      </c>
      <c r="D7" s="9" t="s">
        <v>116</v>
      </c>
      <c r="E7" s="9"/>
      <c r="F7" s="13"/>
      <c r="G7" s="9" t="s">
        <v>28</v>
      </c>
      <c r="H7" s="9" t="s">
        <v>117</v>
      </c>
      <c r="I7" s="10" t="s">
        <v>26</v>
      </c>
      <c r="J7" s="6" t="s">
        <v>119</v>
      </c>
      <c r="K7" s="10"/>
      <c r="L7" s="25">
        <v>4.5</v>
      </c>
      <c r="M7" s="18">
        <v>455.0</v>
      </c>
      <c r="N7" s="19">
        <v>27800.0</v>
      </c>
      <c r="O7" s="20" t="s">
        <v>31</v>
      </c>
      <c r="P7" s="20" t="s">
        <v>59</v>
      </c>
      <c r="Q7" s="7" t="s">
        <v>38</v>
      </c>
      <c r="R7" s="20" t="s">
        <v>122</v>
      </c>
      <c r="S7" s="20" t="s">
        <v>123</v>
      </c>
      <c r="W7" s="7"/>
    </row>
    <row r="8">
      <c r="A8" s="6" t="s">
        <v>124</v>
      </c>
      <c r="B8" s="7" t="s">
        <v>127</v>
      </c>
      <c r="C8" s="9"/>
      <c r="D8" s="9"/>
      <c r="E8" s="9"/>
      <c r="F8" s="22">
        <v>-0.51</v>
      </c>
      <c r="G8" s="9"/>
      <c r="H8" s="9" t="s">
        <v>130</v>
      </c>
      <c r="I8" s="7" t="s">
        <v>131</v>
      </c>
      <c r="J8" s="17" t="s">
        <v>133</v>
      </c>
      <c r="K8" s="7" t="s">
        <v>53</v>
      </c>
      <c r="L8" s="25">
        <v>4.5</v>
      </c>
      <c r="M8" s="18">
        <v>309.0</v>
      </c>
      <c r="N8" s="19">
        <v>114100.0</v>
      </c>
      <c r="O8" s="28"/>
      <c r="P8" s="20" t="s">
        <v>37</v>
      </c>
      <c r="Q8" s="7" t="s">
        <v>38</v>
      </c>
      <c r="S8" s="20" t="s">
        <v>137</v>
      </c>
      <c r="W8" s="10"/>
    </row>
    <row r="9">
      <c r="A9" s="6" t="s">
        <v>143</v>
      </c>
      <c r="B9" s="10" t="s">
        <v>147</v>
      </c>
      <c r="C9" s="22">
        <v>0.0</v>
      </c>
      <c r="D9" s="8">
        <v>0.06</v>
      </c>
      <c r="E9" s="8"/>
      <c r="F9" s="13"/>
      <c r="G9" s="8" t="s">
        <v>48</v>
      </c>
      <c r="H9" s="8" t="s">
        <v>150</v>
      </c>
      <c r="I9" s="10" t="s">
        <v>26</v>
      </c>
      <c r="J9" s="24" t="s">
        <v>151</v>
      </c>
      <c r="K9" s="10"/>
      <c r="L9" s="25">
        <v>2.3</v>
      </c>
      <c r="M9" s="18">
        <v>446.0</v>
      </c>
      <c r="N9" s="19">
        <v>201900.0</v>
      </c>
      <c r="O9" s="20" t="s">
        <v>57</v>
      </c>
      <c r="P9" s="20" t="s">
        <v>142</v>
      </c>
      <c r="Q9" s="7" t="s">
        <v>38</v>
      </c>
      <c r="R9" s="20" t="s">
        <v>154</v>
      </c>
      <c r="S9" s="20" t="s">
        <v>156</v>
      </c>
      <c r="W9" s="7"/>
    </row>
    <row r="10">
      <c r="A10" s="6" t="s">
        <v>157</v>
      </c>
      <c r="B10" s="7" t="s">
        <v>127</v>
      </c>
      <c r="C10" s="9"/>
      <c r="D10" s="9"/>
      <c r="E10" s="9"/>
      <c r="F10" s="22">
        <v>-0.46</v>
      </c>
      <c r="G10" s="9"/>
      <c r="H10" s="9" t="s">
        <v>161</v>
      </c>
      <c r="I10" s="7" t="s">
        <v>163</v>
      </c>
      <c r="J10" s="6" t="s">
        <v>165</v>
      </c>
      <c r="K10" s="10"/>
      <c r="L10" s="25">
        <v>3.8</v>
      </c>
      <c r="M10" s="14">
        <v>9706.0</v>
      </c>
      <c r="N10" s="19">
        <v>235300.0</v>
      </c>
      <c r="O10" s="28"/>
      <c r="P10" s="20" t="s">
        <v>37</v>
      </c>
      <c r="Q10" s="7" t="s">
        <v>38</v>
      </c>
      <c r="S10" s="20" t="s">
        <v>172</v>
      </c>
      <c r="W10" s="10"/>
    </row>
    <row r="11">
      <c r="A11" s="6" t="s">
        <v>174</v>
      </c>
      <c r="B11" s="7" t="s">
        <v>127</v>
      </c>
      <c r="C11" s="9"/>
      <c r="D11" s="9"/>
      <c r="E11" s="9"/>
      <c r="F11" s="22">
        <v>-0.55</v>
      </c>
      <c r="G11" s="9"/>
      <c r="H11" s="9" t="s">
        <v>185</v>
      </c>
      <c r="I11" s="10" t="s">
        <v>186</v>
      </c>
      <c r="J11" s="24" t="s">
        <v>187</v>
      </c>
      <c r="K11" s="10" t="s">
        <v>53</v>
      </c>
      <c r="L11" s="25">
        <v>4.2</v>
      </c>
      <c r="M11" s="14">
        <v>2196.0</v>
      </c>
      <c r="N11" s="19">
        <v>81100.0</v>
      </c>
      <c r="O11" s="28"/>
      <c r="P11" s="20" t="s">
        <v>68</v>
      </c>
      <c r="Q11" s="7" t="s">
        <v>190</v>
      </c>
      <c r="S11" s="20" t="s">
        <v>192</v>
      </c>
      <c r="W11" s="10"/>
    </row>
    <row r="12">
      <c r="A12" s="6" t="s">
        <v>193</v>
      </c>
      <c r="B12" s="20" t="s">
        <v>147</v>
      </c>
      <c r="C12" s="9"/>
      <c r="D12" s="22">
        <v>0.0</v>
      </c>
      <c r="E12" s="22"/>
      <c r="F12" s="30"/>
      <c r="G12" s="31">
        <v>0.0</v>
      </c>
      <c r="H12" s="7" t="s">
        <v>198</v>
      </c>
      <c r="I12" s="10" t="s">
        <v>26</v>
      </c>
      <c r="J12" s="6" t="s">
        <v>200</v>
      </c>
      <c r="K12" s="7" t="s">
        <v>53</v>
      </c>
      <c r="L12" s="25">
        <v>4.1</v>
      </c>
      <c r="M12" s="14">
        <v>45.0</v>
      </c>
      <c r="N12" s="15">
        <v>22300.0</v>
      </c>
      <c r="O12" s="7" t="s">
        <v>142</v>
      </c>
      <c r="P12" s="10" t="s">
        <v>142</v>
      </c>
      <c r="Q12" s="7" t="s">
        <v>202</v>
      </c>
      <c r="R12" s="20" t="s">
        <v>203</v>
      </c>
      <c r="S12" s="20" t="s">
        <v>204</v>
      </c>
    </row>
    <row r="13">
      <c r="A13" s="33" t="s">
        <v>205</v>
      </c>
      <c r="B13" s="20" t="s">
        <v>208</v>
      </c>
      <c r="C13" s="20" t="s">
        <v>209</v>
      </c>
      <c r="D13" s="21" t="s">
        <v>210</v>
      </c>
      <c r="E13" s="21" t="s">
        <v>211</v>
      </c>
      <c r="F13" s="30">
        <v>-0.31</v>
      </c>
      <c r="G13" s="21" t="s">
        <v>212</v>
      </c>
      <c r="H13" s="21" t="s">
        <v>213</v>
      </c>
      <c r="I13" s="7" t="s">
        <v>214</v>
      </c>
      <c r="J13" s="34" t="s">
        <v>215</v>
      </c>
      <c r="K13" s="20" t="s">
        <v>216</v>
      </c>
      <c r="L13" s="20">
        <v>4.8</v>
      </c>
      <c r="M13" s="20">
        <v>60.0</v>
      </c>
      <c r="N13" s="35">
        <v>34100.0</v>
      </c>
      <c r="O13" s="7" t="s">
        <v>57</v>
      </c>
      <c r="P13" s="7" t="s">
        <v>68</v>
      </c>
      <c r="Q13" s="10" t="s">
        <v>96</v>
      </c>
      <c r="R13" s="20" t="s">
        <v>217</v>
      </c>
      <c r="S13" s="20" t="s">
        <v>219</v>
      </c>
    </row>
    <row r="14">
      <c r="A14" s="6" t="s">
        <v>220</v>
      </c>
      <c r="B14" s="7" t="s">
        <v>23</v>
      </c>
      <c r="C14" s="22">
        <v>0.0</v>
      </c>
      <c r="D14" s="22">
        <v>0.06</v>
      </c>
      <c r="E14" s="9"/>
      <c r="F14" s="9"/>
      <c r="G14" s="22">
        <v>0.0</v>
      </c>
      <c r="H14" s="9" t="s">
        <v>150</v>
      </c>
      <c r="I14" s="10" t="s">
        <v>26</v>
      </c>
      <c r="J14" s="17" t="s">
        <v>227</v>
      </c>
      <c r="K14" s="7" t="s">
        <v>228</v>
      </c>
      <c r="L14" s="12">
        <v>4.3</v>
      </c>
      <c r="M14" s="19">
        <v>9.0</v>
      </c>
      <c r="N14" s="15">
        <v>13400.0</v>
      </c>
      <c r="O14" s="7" t="s">
        <v>57</v>
      </c>
      <c r="P14" s="7" t="s">
        <v>68</v>
      </c>
      <c r="Q14" s="10" t="s">
        <v>96</v>
      </c>
      <c r="R14" s="20" t="s">
        <v>233</v>
      </c>
      <c r="S14" s="20" t="s">
        <v>234</v>
      </c>
      <c r="W14" s="7"/>
    </row>
    <row r="15">
      <c r="A15" s="6" t="s">
        <v>236</v>
      </c>
      <c r="B15" s="7" t="s">
        <v>239</v>
      </c>
      <c r="C15" s="20" t="s">
        <v>222</v>
      </c>
      <c r="D15" s="32" t="s">
        <v>240</v>
      </c>
      <c r="E15" s="32" t="s">
        <v>241</v>
      </c>
      <c r="F15" s="22">
        <v>-0.36</v>
      </c>
      <c r="G15" s="22">
        <v>0.0</v>
      </c>
      <c r="H15" s="22">
        <v>0.0</v>
      </c>
      <c r="I15" s="10" t="s">
        <v>26</v>
      </c>
      <c r="J15" s="23" t="s">
        <v>243</v>
      </c>
      <c r="K15" s="10"/>
      <c r="L15" s="18">
        <v>4.3</v>
      </c>
      <c r="M15" s="14">
        <v>2456.0</v>
      </c>
      <c r="N15" s="19">
        <v>329400.0</v>
      </c>
      <c r="O15" s="20" t="s">
        <v>31</v>
      </c>
      <c r="P15" s="20" t="s">
        <v>59</v>
      </c>
      <c r="Q15" s="7" t="s">
        <v>60</v>
      </c>
      <c r="R15" s="20" t="s">
        <v>245</v>
      </c>
      <c r="S15" s="20" t="s">
        <v>246</v>
      </c>
      <c r="W15" s="7"/>
    </row>
    <row r="16">
      <c r="A16" s="24" t="s">
        <v>247</v>
      </c>
      <c r="B16" s="7" t="s">
        <v>162</v>
      </c>
      <c r="C16" s="20" t="s">
        <v>240</v>
      </c>
      <c r="D16" s="9" t="s">
        <v>251</v>
      </c>
      <c r="E16" s="9" t="s">
        <v>252</v>
      </c>
      <c r="F16" s="9"/>
      <c r="G16" s="22">
        <v>0.0</v>
      </c>
      <c r="H16" s="11"/>
      <c r="I16" s="10" t="s">
        <v>26</v>
      </c>
      <c r="J16" s="10"/>
      <c r="K16" s="10"/>
      <c r="L16" s="25">
        <v>4.6</v>
      </c>
      <c r="M16" s="14">
        <v>1379.0</v>
      </c>
      <c r="N16" s="19">
        <v>209600.0</v>
      </c>
      <c r="O16" s="20" t="s">
        <v>57</v>
      </c>
      <c r="P16" s="28"/>
      <c r="Q16" s="7" t="s">
        <v>38</v>
      </c>
      <c r="R16" s="20" t="s">
        <v>255</v>
      </c>
      <c r="W16" s="7"/>
    </row>
    <row r="17">
      <c r="A17" s="24" t="s">
        <v>256</v>
      </c>
      <c r="B17" s="10" t="s">
        <v>147</v>
      </c>
      <c r="C17" s="13">
        <v>0.0</v>
      </c>
      <c r="D17" s="13">
        <v>0.1</v>
      </c>
      <c r="E17" s="13"/>
      <c r="G17" s="13">
        <v>0.0</v>
      </c>
      <c r="H17" s="31">
        <v>0.0</v>
      </c>
      <c r="I17" s="10" t="s">
        <v>26</v>
      </c>
      <c r="J17" s="10"/>
      <c r="K17" s="10"/>
      <c r="L17" s="25">
        <v>4.1</v>
      </c>
      <c r="M17" s="14">
        <v>1292.0</v>
      </c>
      <c r="N17" s="19">
        <v>342800.0</v>
      </c>
      <c r="O17" s="10" t="s">
        <v>31</v>
      </c>
      <c r="P17" s="10" t="s">
        <v>260</v>
      </c>
      <c r="Q17" s="10" t="s">
        <v>261</v>
      </c>
      <c r="R17" s="20" t="s">
        <v>262</v>
      </c>
      <c r="S17" s="20" t="s">
        <v>263</v>
      </c>
    </row>
    <row r="18">
      <c r="A18" s="6" t="s">
        <v>264</v>
      </c>
      <c r="B18" s="7" t="s">
        <v>102</v>
      </c>
      <c r="C18" s="20" t="s">
        <v>270</v>
      </c>
      <c r="D18" s="9" t="s">
        <v>271</v>
      </c>
      <c r="E18" s="9" t="s">
        <v>252</v>
      </c>
      <c r="F18" s="9"/>
      <c r="G18" s="22">
        <v>0.0</v>
      </c>
      <c r="H18" s="11"/>
      <c r="I18" s="7" t="s">
        <v>272</v>
      </c>
      <c r="J18" s="34" t="s">
        <v>273</v>
      </c>
      <c r="K18" s="7" t="s">
        <v>53</v>
      </c>
      <c r="L18" s="25">
        <v>4.4</v>
      </c>
      <c r="M18" s="14">
        <v>335.0</v>
      </c>
      <c r="N18" s="19">
        <v>176100.0</v>
      </c>
      <c r="O18" s="20" t="s">
        <v>30</v>
      </c>
      <c r="P18" s="28"/>
      <c r="Q18" s="7" t="s">
        <v>38</v>
      </c>
      <c r="R18" s="20" t="s">
        <v>276</v>
      </c>
      <c r="W18" s="7"/>
    </row>
    <row r="19">
      <c r="A19" s="6" t="s">
        <v>277</v>
      </c>
      <c r="B19" s="10" t="s">
        <v>147</v>
      </c>
      <c r="C19" s="10"/>
      <c r="D19" s="10"/>
      <c r="E19" s="10"/>
      <c r="G19" s="10"/>
      <c r="H19" s="10"/>
      <c r="I19" s="10" t="s">
        <v>26</v>
      </c>
      <c r="J19" s="10"/>
      <c r="K19" s="10"/>
      <c r="L19" s="25">
        <v>2.2</v>
      </c>
      <c r="M19" s="14">
        <v>14.0</v>
      </c>
      <c r="N19" s="19">
        <v>1200000.0</v>
      </c>
      <c r="O19" s="10"/>
      <c r="P19" s="10"/>
      <c r="Q19" s="10" t="s">
        <v>96</v>
      </c>
    </row>
    <row r="20">
      <c r="A20" s="24" t="s">
        <v>282</v>
      </c>
      <c r="B20" s="10" t="s">
        <v>162</v>
      </c>
      <c r="C20" s="10"/>
      <c r="D20" s="10"/>
      <c r="E20" s="10"/>
      <c r="G20" s="10"/>
      <c r="H20" s="10"/>
      <c r="I20" s="10" t="s">
        <v>26</v>
      </c>
      <c r="J20" s="10"/>
      <c r="K20" s="10"/>
      <c r="L20" s="25">
        <v>3.5</v>
      </c>
      <c r="M20" s="14">
        <v>3.0</v>
      </c>
      <c r="N20" s="19">
        <v>286500.0</v>
      </c>
      <c r="O20" s="10"/>
      <c r="P20" s="10"/>
      <c r="Q20" s="10" t="s">
        <v>69</v>
      </c>
    </row>
    <row r="21">
      <c r="A21" s="24" t="s">
        <v>292</v>
      </c>
      <c r="B21" s="10" t="s">
        <v>162</v>
      </c>
      <c r="C21" s="10"/>
      <c r="D21" s="10"/>
      <c r="E21" s="10"/>
      <c r="G21" s="10"/>
      <c r="H21" s="10"/>
      <c r="I21" s="10" t="s">
        <v>26</v>
      </c>
      <c r="J21" s="10"/>
      <c r="K21" s="10"/>
      <c r="L21" s="25">
        <v>2.2</v>
      </c>
      <c r="M21" s="14">
        <v>33.0</v>
      </c>
      <c r="N21" s="19">
        <v>1200000.0</v>
      </c>
      <c r="O21" s="10"/>
      <c r="P21" s="10"/>
      <c r="Q21" s="10" t="s">
        <v>96</v>
      </c>
    </row>
    <row r="22">
      <c r="A22" s="24" t="s">
        <v>300</v>
      </c>
      <c r="B22" s="10" t="s">
        <v>162</v>
      </c>
      <c r="C22" s="7" t="s">
        <v>302</v>
      </c>
      <c r="D22" s="9" t="s">
        <v>303</v>
      </c>
      <c r="E22" s="9" t="s">
        <v>305</v>
      </c>
      <c r="G22" s="10"/>
      <c r="H22" s="10"/>
      <c r="I22" s="10" t="s">
        <v>26</v>
      </c>
      <c r="J22" s="10"/>
      <c r="K22" s="10"/>
      <c r="L22" s="25">
        <v>3.2</v>
      </c>
      <c r="M22" s="14">
        <v>1.0</v>
      </c>
      <c r="N22" s="19">
        <v>30400.0</v>
      </c>
      <c r="O22" s="10"/>
      <c r="P22" s="10"/>
      <c r="Q22" s="10" t="s">
        <v>96</v>
      </c>
    </row>
    <row r="23">
      <c r="A23" s="24" t="s">
        <v>307</v>
      </c>
      <c r="B23" s="10" t="s">
        <v>162</v>
      </c>
      <c r="C23" s="10"/>
      <c r="D23" s="10"/>
      <c r="E23" s="10"/>
      <c r="G23" s="10"/>
      <c r="H23" s="10"/>
      <c r="I23" s="10" t="s">
        <v>26</v>
      </c>
      <c r="J23" s="10"/>
      <c r="K23" s="10"/>
      <c r="L23" s="25">
        <v>4.2</v>
      </c>
      <c r="M23" s="14">
        <v>194.0</v>
      </c>
      <c r="N23" s="19">
        <v>145500.0</v>
      </c>
      <c r="O23" s="10"/>
      <c r="P23" s="10"/>
      <c r="Q23" s="10" t="s">
        <v>96</v>
      </c>
    </row>
    <row r="24">
      <c r="A24" s="24" t="s">
        <v>314</v>
      </c>
      <c r="B24" s="10" t="s">
        <v>162</v>
      </c>
      <c r="C24" s="10"/>
      <c r="D24" s="10"/>
      <c r="E24" s="10"/>
      <c r="G24" s="10"/>
      <c r="H24" s="10"/>
      <c r="I24" s="10" t="s">
        <v>26</v>
      </c>
      <c r="J24" s="10"/>
      <c r="K24" s="10"/>
      <c r="L24" s="12" t="s">
        <v>96</v>
      </c>
      <c r="M24" s="12" t="s">
        <v>96</v>
      </c>
      <c r="N24" s="19">
        <v>83100.0</v>
      </c>
      <c r="O24" s="10"/>
      <c r="P24" s="10"/>
      <c r="Q24" s="10" t="s">
        <v>96</v>
      </c>
    </row>
    <row r="25">
      <c r="A25" s="24" t="s">
        <v>317</v>
      </c>
      <c r="B25" s="10" t="s">
        <v>162</v>
      </c>
      <c r="C25" s="10"/>
      <c r="D25" s="10"/>
      <c r="E25" s="10"/>
      <c r="G25" s="10"/>
      <c r="H25" s="10"/>
      <c r="I25" s="10" t="s">
        <v>26</v>
      </c>
      <c r="J25" s="10"/>
      <c r="K25" s="10"/>
      <c r="L25" s="12" t="s">
        <v>96</v>
      </c>
      <c r="M25" s="12" t="s">
        <v>96</v>
      </c>
      <c r="N25" s="19">
        <v>10100.0</v>
      </c>
      <c r="O25" s="10"/>
      <c r="P25" s="10"/>
      <c r="Q25" s="10" t="s">
        <v>96</v>
      </c>
    </row>
    <row r="26">
      <c r="A26" s="24" t="s">
        <v>321</v>
      </c>
      <c r="B26" s="10" t="s">
        <v>162</v>
      </c>
      <c r="C26" s="10"/>
      <c r="D26" s="10"/>
      <c r="E26" s="10"/>
      <c r="G26" s="10"/>
      <c r="H26" s="10"/>
      <c r="I26" s="10" t="s">
        <v>26</v>
      </c>
      <c r="J26" s="10"/>
      <c r="K26" s="10"/>
      <c r="L26" s="12" t="s">
        <v>96</v>
      </c>
      <c r="M26" s="12" t="s">
        <v>96</v>
      </c>
      <c r="N26" s="12">
        <v>371.0</v>
      </c>
      <c r="O26" s="10"/>
      <c r="P26" s="10"/>
      <c r="Q26" s="10" t="s">
        <v>96</v>
      </c>
    </row>
    <row r="27">
      <c r="A27" s="24" t="s">
        <v>328</v>
      </c>
      <c r="B27" s="10" t="s">
        <v>162</v>
      </c>
      <c r="C27" s="10"/>
      <c r="D27" s="10"/>
      <c r="E27" s="10"/>
      <c r="G27" s="10"/>
      <c r="H27" s="10"/>
      <c r="I27" s="10" t="s">
        <v>26</v>
      </c>
      <c r="J27" s="10"/>
      <c r="K27" s="10"/>
      <c r="L27" s="12" t="s">
        <v>96</v>
      </c>
      <c r="M27" s="12" t="s">
        <v>96</v>
      </c>
      <c r="N27" s="19">
        <v>643.0</v>
      </c>
      <c r="O27" s="10"/>
      <c r="P27" s="10"/>
      <c r="Q27" s="10" t="s">
        <v>96</v>
      </c>
    </row>
    <row r="28">
      <c r="A28" s="24" t="s">
        <v>335</v>
      </c>
      <c r="B28" s="10" t="s">
        <v>162</v>
      </c>
      <c r="C28" s="10"/>
      <c r="D28" s="10"/>
      <c r="E28" s="10"/>
      <c r="G28" s="10"/>
      <c r="H28" s="10"/>
      <c r="I28" s="10" t="s">
        <v>26</v>
      </c>
      <c r="J28" s="10"/>
      <c r="K28" s="10"/>
      <c r="L28" s="12" t="s">
        <v>96</v>
      </c>
      <c r="M28" s="12" t="s">
        <v>96</v>
      </c>
      <c r="N28" s="12">
        <v>218.0</v>
      </c>
      <c r="O28" s="10"/>
      <c r="P28" s="10"/>
      <c r="Q28" s="10" t="s">
        <v>96</v>
      </c>
    </row>
    <row r="29">
      <c r="O29" s="20" t="s">
        <v>327</v>
      </c>
    </row>
    <row r="31">
      <c r="J31" s="34" t="s">
        <v>339</v>
      </c>
    </row>
    <row r="32">
      <c r="J32" s="20" t="s">
        <v>334</v>
      </c>
    </row>
  </sheetData>
  <dataValidations>
    <dataValidation type="list" allowBlank="1" showErrorMessage="1" sqref="O2:O28">
      <formula1>"PayPal,Crypto,Debit/Credit Card,PayPal, Crypto,Paypal, Debit/Credit Card,Crypto, Debit/Credit Card,PayPal, Crypto, Debit/Credit Card"</formula1>
    </dataValidation>
    <dataValidation type="list" allowBlank="1" showErrorMessage="1" sqref="P2:P28">
      <formula1>"PayPal,Crypto,Bank,PayPal, Crypto,Paypal, Bank,Crypto, Bank,PayPal, Crypto, Bank"</formula1>
    </dataValidation>
  </dataValidations>
  <hyperlinks>
    <hyperlink r:id="rId2" ref="A2"/>
    <hyperlink r:id="rId3" ref="J2"/>
    <hyperlink r:id="rId4" ref="A3"/>
    <hyperlink r:id="rId5" ref="J3"/>
    <hyperlink r:id="rId6" ref="A4"/>
    <hyperlink r:id="rId7" ref="J4"/>
    <hyperlink r:id="rId8" ref="A5"/>
    <hyperlink r:id="rId9" ref="J5"/>
    <hyperlink r:id="rId10" ref="A6"/>
    <hyperlink r:id="rId11" ref="J6"/>
    <hyperlink r:id="rId12" ref="A7"/>
    <hyperlink r:id="rId13" ref="J7"/>
    <hyperlink r:id="rId14" ref="A8"/>
    <hyperlink r:id="rId15" ref="J8"/>
    <hyperlink r:id="rId16" ref="A9"/>
    <hyperlink r:id="rId17" ref="J9"/>
    <hyperlink r:id="rId18" ref="A10"/>
    <hyperlink r:id="rId19" ref="J10"/>
    <hyperlink r:id="rId20" ref="A11"/>
    <hyperlink r:id="rId21" ref="J11"/>
    <hyperlink r:id="rId22" ref="A12"/>
    <hyperlink r:id="rId23" ref="J12"/>
    <hyperlink r:id="rId24" ref="A13"/>
    <hyperlink r:id="rId25" ref="J13"/>
    <hyperlink r:id="rId26" ref="A14"/>
    <hyperlink r:id="rId27" ref="J14"/>
    <hyperlink r:id="rId28" ref="A15"/>
    <hyperlink r:id="rId29" ref="J15"/>
    <hyperlink r:id="rId30" ref="A16"/>
    <hyperlink r:id="rId31" ref="A17"/>
    <hyperlink r:id="rId32" ref="A18"/>
    <hyperlink r:id="rId33" ref="J18"/>
    <hyperlink r:id="rId34" ref="A19"/>
    <hyperlink r:id="rId35" ref="A20"/>
    <hyperlink r:id="rId36" ref="A21"/>
    <hyperlink r:id="rId37" ref="A22"/>
    <hyperlink r:id="rId38" ref="A23"/>
    <hyperlink r:id="rId39" ref="A24"/>
    <hyperlink r:id="rId40" ref="A25"/>
    <hyperlink r:id="rId41" ref="A26"/>
    <hyperlink r:id="rId42" ref="A27"/>
    <hyperlink r:id="rId43" ref="A28"/>
    <hyperlink r:id="rId44" ref="J31"/>
  </hyperlinks>
  <printOptions gridLines="1" horizontalCentered="1"/>
  <pageMargins bottom="0.75" footer="0.0" header="0.0" left="0.7" right="0.7" top="0.75"/>
  <pageSetup fitToHeight="0" cellComments="atEnd" orientation="landscape" pageOrder="overThenDown"/>
  <drawing r:id="rId45"/>
  <legacyDrawing r:id="rId4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63"/>
    <col customWidth="1" min="2" max="2" width="17.63"/>
    <col customWidth="1" min="3" max="3" width="13.5"/>
    <col customWidth="1" min="4" max="4" width="13.38"/>
    <col customWidth="1" min="5" max="5" width="14.63"/>
    <col customWidth="1" min="6" max="6" width="15.13"/>
    <col customWidth="1" min="7" max="7" width="11.13"/>
    <col customWidth="1" min="8" max="8" width="16.63"/>
    <col customWidth="1" min="9" max="9" width="33.25"/>
    <col customWidth="1" min="10" max="10" width="17.0"/>
    <col customWidth="1" min="11" max="11" width="13.0"/>
    <col customWidth="1" min="12" max="12" width="14.63"/>
    <col customWidth="1" min="13" max="13" width="16.0"/>
    <col customWidth="1" min="15" max="15" width="36.63"/>
    <col customWidth="1" min="16" max="16" width="38.0"/>
    <col customWidth="1" min="17" max="17" width="17.75"/>
    <col customWidth="1" min="18" max="18" width="58.88"/>
  </cols>
  <sheetData>
    <row r="1">
      <c r="A1" s="1" t="s">
        <v>0</v>
      </c>
      <c r="B1" s="1" t="s">
        <v>1</v>
      </c>
      <c r="C1" s="2" t="s">
        <v>2</v>
      </c>
      <c r="D1" s="2" t="s">
        <v>3</v>
      </c>
      <c r="E1" s="4" t="s">
        <v>4</v>
      </c>
      <c r="F1" s="4" t="s">
        <v>5</v>
      </c>
      <c r="G1" s="2" t="s">
        <v>6</v>
      </c>
      <c r="H1" s="2" t="s">
        <v>7</v>
      </c>
      <c r="I1" s="1" t="s">
        <v>8</v>
      </c>
      <c r="J1" s="1" t="s">
        <v>9</v>
      </c>
      <c r="K1" s="1" t="s">
        <v>10</v>
      </c>
      <c r="L1" s="1" t="s">
        <v>11</v>
      </c>
      <c r="M1" s="4" t="s">
        <v>12</v>
      </c>
      <c r="N1" s="4" t="s">
        <v>13</v>
      </c>
      <c r="O1" s="5" t="s">
        <v>14</v>
      </c>
      <c r="P1" s="5" t="s">
        <v>15</v>
      </c>
      <c r="Q1" s="1" t="s">
        <v>16</v>
      </c>
      <c r="R1" s="5" t="s">
        <v>17</v>
      </c>
      <c r="S1" s="5" t="s">
        <v>18</v>
      </c>
      <c r="W1" s="4"/>
    </row>
    <row r="2">
      <c r="A2" s="6" t="s">
        <v>19</v>
      </c>
      <c r="B2" s="7" t="s">
        <v>23</v>
      </c>
      <c r="C2" s="8">
        <v>0.0</v>
      </c>
      <c r="D2" s="9" t="s">
        <v>24</v>
      </c>
      <c r="E2" s="10"/>
      <c r="F2" s="10"/>
      <c r="G2" s="8">
        <v>0.0</v>
      </c>
      <c r="H2" s="8">
        <v>0.0</v>
      </c>
      <c r="I2" s="10" t="s">
        <v>26</v>
      </c>
      <c r="J2" s="6" t="s">
        <v>27</v>
      </c>
      <c r="K2" s="10"/>
      <c r="L2" s="12">
        <v>4.8</v>
      </c>
      <c r="M2" s="14">
        <v>35310.0</v>
      </c>
      <c r="N2" s="15">
        <v>3600000.0</v>
      </c>
      <c r="O2" s="20" t="s">
        <v>30</v>
      </c>
      <c r="P2" s="20" t="s">
        <v>32</v>
      </c>
      <c r="Q2" s="7" t="s">
        <v>33</v>
      </c>
      <c r="R2" s="20" t="s">
        <v>34</v>
      </c>
      <c r="S2" s="20" t="s">
        <v>35</v>
      </c>
      <c r="W2" s="7"/>
    </row>
    <row r="3">
      <c r="A3" s="6" t="s">
        <v>36</v>
      </c>
      <c r="B3" s="7" t="s">
        <v>43</v>
      </c>
      <c r="C3" s="3"/>
      <c r="D3" s="3"/>
      <c r="E3" s="22"/>
      <c r="F3" s="22">
        <v>0.07</v>
      </c>
      <c r="G3" s="9" t="s">
        <v>45</v>
      </c>
      <c r="H3" s="9" t="s">
        <v>47</v>
      </c>
      <c r="I3" s="10" t="s">
        <v>26</v>
      </c>
      <c r="J3" s="23" t="s">
        <v>49</v>
      </c>
      <c r="K3" s="10"/>
      <c r="L3" s="25">
        <v>4.9</v>
      </c>
      <c r="M3" s="14">
        <v>7552.0</v>
      </c>
      <c r="N3" s="15">
        <v>1.12E7</v>
      </c>
      <c r="O3" s="20" t="s">
        <v>57</v>
      </c>
      <c r="P3" s="20" t="s">
        <v>59</v>
      </c>
      <c r="Q3" s="7" t="s">
        <v>60</v>
      </c>
      <c r="R3" s="20" t="s">
        <v>61</v>
      </c>
      <c r="S3" s="20" t="s">
        <v>63</v>
      </c>
      <c r="W3" s="7"/>
    </row>
    <row r="4">
      <c r="A4" s="6" t="s">
        <v>65</v>
      </c>
      <c r="B4" s="7" t="s">
        <v>43</v>
      </c>
      <c r="C4" s="3"/>
      <c r="D4" s="3"/>
      <c r="E4" s="22"/>
      <c r="F4" s="22">
        <v>0.13</v>
      </c>
      <c r="G4" s="16" t="s">
        <v>72</v>
      </c>
      <c r="H4" s="16" t="s">
        <v>73</v>
      </c>
      <c r="I4" s="10" t="s">
        <v>26</v>
      </c>
      <c r="J4" s="24" t="s">
        <v>76</v>
      </c>
      <c r="K4" s="10"/>
      <c r="L4" s="18">
        <v>4.5</v>
      </c>
      <c r="M4" s="14">
        <v>1765.0</v>
      </c>
      <c r="N4" s="19">
        <v>790600.0</v>
      </c>
      <c r="O4" s="20" t="s">
        <v>57</v>
      </c>
      <c r="P4" s="20" t="s">
        <v>37</v>
      </c>
      <c r="Q4" s="7" t="s">
        <v>60</v>
      </c>
      <c r="R4" s="20" t="s">
        <v>81</v>
      </c>
      <c r="S4" s="20" t="s">
        <v>82</v>
      </c>
      <c r="W4" s="7"/>
    </row>
    <row r="5">
      <c r="A5" s="6" t="s">
        <v>55</v>
      </c>
      <c r="B5" s="7" t="s">
        <v>23</v>
      </c>
      <c r="C5" s="22">
        <v>0.02</v>
      </c>
      <c r="D5" s="22">
        <v>0.05</v>
      </c>
      <c r="E5" s="13"/>
      <c r="F5" s="13"/>
      <c r="G5" s="8" t="s">
        <v>66</v>
      </c>
      <c r="H5" s="9" t="s">
        <v>48</v>
      </c>
      <c r="I5" s="10" t="s">
        <v>26</v>
      </c>
      <c r="J5" s="24" t="s">
        <v>67</v>
      </c>
      <c r="K5" s="10"/>
      <c r="L5" s="25">
        <v>4.0</v>
      </c>
      <c r="M5" s="14">
        <v>21779.0</v>
      </c>
      <c r="N5" s="15">
        <v>2100000.0</v>
      </c>
      <c r="O5" s="20" t="s">
        <v>31</v>
      </c>
      <c r="P5" s="20" t="s">
        <v>37</v>
      </c>
      <c r="Q5" s="7" t="s">
        <v>33</v>
      </c>
      <c r="R5" s="20" t="s">
        <v>75</v>
      </c>
      <c r="S5" s="20" t="s">
        <v>77</v>
      </c>
      <c r="W5" s="7"/>
    </row>
    <row r="6">
      <c r="A6" s="6" t="s">
        <v>21</v>
      </c>
      <c r="B6" s="7" t="s">
        <v>25</v>
      </c>
      <c r="C6" s="11"/>
      <c r="D6" s="8">
        <v>0.05</v>
      </c>
      <c r="E6" s="13"/>
      <c r="F6" s="13"/>
      <c r="G6" s="8">
        <v>0.04</v>
      </c>
      <c r="H6" s="16" t="s">
        <v>28</v>
      </c>
      <c r="I6" s="10" t="s">
        <v>26</v>
      </c>
      <c r="J6" s="17" t="s">
        <v>29</v>
      </c>
      <c r="K6" s="10"/>
      <c r="L6" s="18">
        <v>3.9</v>
      </c>
      <c r="M6" s="14">
        <v>2914.0</v>
      </c>
      <c r="N6" s="19">
        <v>571600.0</v>
      </c>
      <c r="O6" s="20" t="s">
        <v>31</v>
      </c>
      <c r="P6" s="20" t="s">
        <v>37</v>
      </c>
      <c r="Q6" s="7" t="s">
        <v>33</v>
      </c>
      <c r="R6" s="20" t="s">
        <v>39</v>
      </c>
      <c r="S6" s="20" t="s">
        <v>40</v>
      </c>
      <c r="W6" s="7"/>
    </row>
    <row r="7">
      <c r="A7" s="6" t="s">
        <v>118</v>
      </c>
      <c r="B7" s="7" t="s">
        <v>43</v>
      </c>
      <c r="C7" s="3"/>
      <c r="D7" s="3"/>
      <c r="E7" s="22"/>
      <c r="F7" s="22">
        <v>0.07</v>
      </c>
      <c r="G7" s="9" t="s">
        <v>132</v>
      </c>
      <c r="H7" s="27">
        <v>1.0</v>
      </c>
      <c r="I7" s="10" t="s">
        <v>26</v>
      </c>
      <c r="J7" s="17" t="s">
        <v>139</v>
      </c>
      <c r="K7" s="10"/>
      <c r="L7" s="26">
        <v>4.2</v>
      </c>
      <c r="M7" s="12">
        <v>932.0</v>
      </c>
      <c r="N7" s="19">
        <v>599500.0</v>
      </c>
      <c r="O7" s="20" t="s">
        <v>142</v>
      </c>
      <c r="P7" s="20" t="s">
        <v>142</v>
      </c>
      <c r="Q7" s="7" t="s">
        <v>60</v>
      </c>
      <c r="R7" s="20" t="s">
        <v>144</v>
      </c>
      <c r="S7" s="20" t="s">
        <v>145</v>
      </c>
      <c r="W7" s="7"/>
    </row>
    <row r="8">
      <c r="A8" s="6" t="s">
        <v>149</v>
      </c>
      <c r="B8" s="7" t="s">
        <v>43</v>
      </c>
      <c r="C8" s="3"/>
      <c r="E8" s="22"/>
      <c r="F8" s="22">
        <v>0.06</v>
      </c>
      <c r="G8" s="16" t="s">
        <v>173</v>
      </c>
      <c r="H8" s="16" t="s">
        <v>177</v>
      </c>
      <c r="I8" s="7" t="s">
        <v>179</v>
      </c>
      <c r="J8" s="24" t="s">
        <v>181</v>
      </c>
      <c r="K8" s="10"/>
      <c r="L8" s="25">
        <v>4.2</v>
      </c>
      <c r="M8" s="14">
        <v>1918.0</v>
      </c>
      <c r="N8" s="19">
        <v>370700.0</v>
      </c>
      <c r="O8" s="20" t="s">
        <v>142</v>
      </c>
      <c r="P8" s="20" t="s">
        <v>37</v>
      </c>
      <c r="Q8" s="7" t="s">
        <v>60</v>
      </c>
      <c r="R8" s="20" t="s">
        <v>196</v>
      </c>
      <c r="S8" s="20" t="s">
        <v>197</v>
      </c>
    </row>
    <row r="9">
      <c r="A9" s="6" t="s">
        <v>124</v>
      </c>
      <c r="B9" s="7" t="s">
        <v>127</v>
      </c>
      <c r="C9" s="9"/>
      <c r="E9" s="22"/>
      <c r="F9" s="22">
        <v>0.13</v>
      </c>
      <c r="G9" s="9"/>
      <c r="H9" s="9" t="s">
        <v>130</v>
      </c>
      <c r="I9" s="7" t="s">
        <v>131</v>
      </c>
      <c r="J9" s="17" t="s">
        <v>133</v>
      </c>
      <c r="K9" s="7" t="s">
        <v>53</v>
      </c>
      <c r="L9" s="25">
        <v>4.5</v>
      </c>
      <c r="M9" s="18">
        <v>309.0</v>
      </c>
      <c r="N9" s="19">
        <v>114100.0</v>
      </c>
      <c r="O9" s="28"/>
      <c r="P9" s="20" t="s">
        <v>37</v>
      </c>
      <c r="Q9" s="7" t="s">
        <v>33</v>
      </c>
      <c r="S9" s="20" t="s">
        <v>137</v>
      </c>
      <c r="W9" s="10"/>
    </row>
    <row r="10">
      <c r="A10" s="6" t="s">
        <v>143</v>
      </c>
      <c r="B10" s="10" t="s">
        <v>147</v>
      </c>
      <c r="C10" s="22">
        <v>0.0</v>
      </c>
      <c r="D10" s="8">
        <v>0.06</v>
      </c>
      <c r="E10" s="13"/>
      <c r="F10" s="13"/>
      <c r="G10" s="8" t="s">
        <v>48</v>
      </c>
      <c r="H10" s="8" t="s">
        <v>150</v>
      </c>
      <c r="I10" s="10" t="s">
        <v>26</v>
      </c>
      <c r="J10" s="24" t="s">
        <v>151</v>
      </c>
      <c r="K10" s="10"/>
      <c r="L10" s="25">
        <v>2.3</v>
      </c>
      <c r="M10" s="18">
        <v>446.0</v>
      </c>
      <c r="N10" s="19">
        <v>201900.0</v>
      </c>
      <c r="O10" s="20" t="s">
        <v>57</v>
      </c>
      <c r="P10" s="20" t="s">
        <v>142</v>
      </c>
      <c r="Q10" s="7" t="s">
        <v>33</v>
      </c>
      <c r="R10" s="20" t="s">
        <v>154</v>
      </c>
      <c r="S10" s="20" t="s">
        <v>156</v>
      </c>
      <c r="W10" s="7"/>
    </row>
    <row r="11">
      <c r="A11" s="6" t="s">
        <v>231</v>
      </c>
      <c r="B11" s="7" t="s">
        <v>201</v>
      </c>
      <c r="C11" s="22">
        <v>0.0</v>
      </c>
      <c r="D11" s="22">
        <v>0.05</v>
      </c>
      <c r="E11" s="22"/>
      <c r="F11" s="22">
        <v>0.07</v>
      </c>
      <c r="G11" s="9" t="s">
        <v>132</v>
      </c>
      <c r="H11" s="22">
        <v>0.05</v>
      </c>
      <c r="I11" s="10" t="s">
        <v>26</v>
      </c>
      <c r="J11" s="24" t="s">
        <v>242</v>
      </c>
      <c r="K11" s="10"/>
      <c r="L11" s="25">
        <v>4.0</v>
      </c>
      <c r="M11" s="18">
        <v>865.0</v>
      </c>
      <c r="N11" s="19">
        <v>255300.0</v>
      </c>
      <c r="O11" s="20" t="s">
        <v>57</v>
      </c>
      <c r="P11" s="20" t="s">
        <v>59</v>
      </c>
      <c r="Q11" s="10" t="s">
        <v>158</v>
      </c>
      <c r="R11" s="20" t="s">
        <v>249</v>
      </c>
      <c r="S11" s="20" t="s">
        <v>250</v>
      </c>
      <c r="W11" s="7"/>
    </row>
    <row r="12">
      <c r="A12" s="6" t="s">
        <v>110</v>
      </c>
      <c r="B12" s="7" t="s">
        <v>254</v>
      </c>
      <c r="C12" s="8">
        <v>0.0</v>
      </c>
      <c r="D12" s="8">
        <v>0.02</v>
      </c>
      <c r="E12" s="13"/>
      <c r="F12" s="13"/>
      <c r="G12" s="9" t="s">
        <v>28</v>
      </c>
      <c r="H12" s="9" t="s">
        <v>117</v>
      </c>
      <c r="I12" s="10" t="s">
        <v>26</v>
      </c>
      <c r="J12" s="6" t="s">
        <v>119</v>
      </c>
      <c r="K12" s="10"/>
      <c r="L12" s="25">
        <v>4.5</v>
      </c>
      <c r="M12" s="18">
        <v>455.0</v>
      </c>
      <c r="N12" s="19">
        <v>27800.0</v>
      </c>
      <c r="O12" s="20" t="s">
        <v>31</v>
      </c>
      <c r="P12" s="20" t="s">
        <v>59</v>
      </c>
      <c r="Q12" s="10" t="s">
        <v>120</v>
      </c>
      <c r="R12" s="20" t="s">
        <v>122</v>
      </c>
      <c r="S12" s="20" t="s">
        <v>123</v>
      </c>
      <c r="W12" s="7"/>
    </row>
    <row r="13">
      <c r="A13" s="6" t="s">
        <v>157</v>
      </c>
      <c r="B13" s="7" t="s">
        <v>127</v>
      </c>
      <c r="C13" s="9"/>
      <c r="E13" s="22"/>
      <c r="F13" s="22">
        <v>0.19</v>
      </c>
      <c r="G13" s="9"/>
      <c r="H13" s="9" t="s">
        <v>161</v>
      </c>
      <c r="I13" s="7" t="s">
        <v>163</v>
      </c>
      <c r="J13" s="6" t="s">
        <v>165</v>
      </c>
      <c r="K13" s="10"/>
      <c r="L13" s="25">
        <v>3.8</v>
      </c>
      <c r="M13" s="14">
        <v>9706.0</v>
      </c>
      <c r="N13" s="19">
        <v>235300.0</v>
      </c>
      <c r="O13" s="28"/>
      <c r="P13" s="20" t="s">
        <v>37</v>
      </c>
      <c r="Q13" s="7" t="s">
        <v>33</v>
      </c>
      <c r="S13" s="20" t="s">
        <v>172</v>
      </c>
      <c r="W13" s="10"/>
    </row>
    <row r="14">
      <c r="A14" s="6" t="s">
        <v>174</v>
      </c>
      <c r="B14" s="7" t="s">
        <v>127</v>
      </c>
      <c r="C14" s="9"/>
      <c r="E14" s="22"/>
      <c r="F14" s="22">
        <v>0.22</v>
      </c>
      <c r="G14" s="9"/>
      <c r="H14" s="9" t="s">
        <v>185</v>
      </c>
      <c r="I14" s="10" t="s">
        <v>186</v>
      </c>
      <c r="J14" s="24" t="s">
        <v>187</v>
      </c>
      <c r="K14" s="10" t="s">
        <v>53</v>
      </c>
      <c r="L14" s="25">
        <v>4.2</v>
      </c>
      <c r="M14" s="14">
        <v>2196.0</v>
      </c>
      <c r="N14" s="19">
        <v>81100.0</v>
      </c>
      <c r="O14" s="28"/>
      <c r="P14" s="20" t="s">
        <v>68</v>
      </c>
      <c r="Q14" s="7" t="s">
        <v>283</v>
      </c>
      <c r="S14" s="20" t="s">
        <v>192</v>
      </c>
      <c r="W14" s="10"/>
    </row>
    <row r="15">
      <c r="A15" s="24" t="s">
        <v>284</v>
      </c>
      <c r="B15" s="7" t="s">
        <v>43</v>
      </c>
      <c r="C15" s="3"/>
      <c r="D15" s="3"/>
      <c r="E15" s="22"/>
      <c r="F15" s="22">
        <v>0.06</v>
      </c>
      <c r="G15" s="16" t="s">
        <v>293</v>
      </c>
      <c r="H15" s="16" t="s">
        <v>294</v>
      </c>
      <c r="I15" s="10" t="s">
        <v>26</v>
      </c>
      <c r="J15" s="10"/>
      <c r="K15" s="10"/>
      <c r="L15" s="25">
        <v>4.7</v>
      </c>
      <c r="M15" s="14">
        <v>4015.0</v>
      </c>
      <c r="N15" s="19">
        <v>1100000.0</v>
      </c>
      <c r="O15" s="20" t="s">
        <v>31</v>
      </c>
      <c r="P15" s="20" t="s">
        <v>59</v>
      </c>
      <c r="Q15" s="7" t="s">
        <v>60</v>
      </c>
      <c r="R15" s="20" t="s">
        <v>297</v>
      </c>
      <c r="S15" s="20" t="s">
        <v>298</v>
      </c>
      <c r="W15" s="7"/>
    </row>
    <row r="16">
      <c r="A16" s="24" t="s">
        <v>299</v>
      </c>
      <c r="B16" s="10" t="s">
        <v>147</v>
      </c>
      <c r="C16" s="8">
        <v>0.0</v>
      </c>
      <c r="D16" s="29">
        <v>0.025</v>
      </c>
      <c r="E16" s="40"/>
      <c r="F16" s="40"/>
      <c r="G16" s="29"/>
      <c r="H16" s="29"/>
      <c r="I16" s="10" t="s">
        <v>26</v>
      </c>
      <c r="J16" s="10"/>
      <c r="K16" s="10"/>
      <c r="L16" s="25">
        <v>2.6</v>
      </c>
      <c r="M16" s="18">
        <v>95.0</v>
      </c>
      <c r="N16" s="15">
        <v>2300000.0</v>
      </c>
      <c r="O16" s="28"/>
      <c r="P16" s="28"/>
      <c r="Q16" s="7" t="s">
        <v>69</v>
      </c>
      <c r="W16" s="7"/>
    </row>
    <row r="17">
      <c r="A17" s="24" t="s">
        <v>247</v>
      </c>
      <c r="B17" s="7" t="s">
        <v>162</v>
      </c>
      <c r="D17" s="9"/>
      <c r="E17" s="9" t="s">
        <v>311</v>
      </c>
      <c r="F17" s="9"/>
      <c r="G17" s="22">
        <v>0.0</v>
      </c>
      <c r="H17" s="11"/>
      <c r="I17" s="10" t="s">
        <v>26</v>
      </c>
      <c r="J17" s="10"/>
      <c r="K17" s="10"/>
      <c r="L17" s="25">
        <v>4.6</v>
      </c>
      <c r="M17" s="14">
        <v>1379.0</v>
      </c>
      <c r="N17" s="19">
        <v>209600.0</v>
      </c>
      <c r="O17" s="20" t="s">
        <v>57</v>
      </c>
      <c r="P17" s="28"/>
      <c r="Q17" s="7" t="s">
        <v>33</v>
      </c>
      <c r="R17" s="20" t="s">
        <v>255</v>
      </c>
      <c r="W17" s="7"/>
    </row>
    <row r="18">
      <c r="A18" s="24" t="s">
        <v>256</v>
      </c>
      <c r="B18" s="10" t="s">
        <v>147</v>
      </c>
      <c r="C18" s="13">
        <v>0.0</v>
      </c>
      <c r="D18" s="13">
        <v>0.1</v>
      </c>
      <c r="G18" s="13">
        <v>0.0</v>
      </c>
      <c r="H18" s="31">
        <v>0.0</v>
      </c>
      <c r="I18" s="10" t="s">
        <v>26</v>
      </c>
      <c r="J18" s="10"/>
      <c r="K18" s="10"/>
      <c r="L18" s="25">
        <v>4.1</v>
      </c>
      <c r="M18" s="14">
        <v>1292.0</v>
      </c>
      <c r="N18" s="19">
        <v>342800.0</v>
      </c>
      <c r="O18" s="10" t="s">
        <v>31</v>
      </c>
      <c r="P18" s="10" t="s">
        <v>260</v>
      </c>
      <c r="Q18" s="10" t="s">
        <v>261</v>
      </c>
      <c r="R18" s="20" t="s">
        <v>262</v>
      </c>
      <c r="S18" s="20" t="s">
        <v>263</v>
      </c>
    </row>
    <row r="19">
      <c r="A19" s="6" t="s">
        <v>264</v>
      </c>
      <c r="B19" s="7" t="s">
        <v>102</v>
      </c>
      <c r="D19" s="9"/>
      <c r="E19" s="22">
        <v>0.08</v>
      </c>
      <c r="F19" s="9"/>
      <c r="G19" s="22">
        <v>0.0</v>
      </c>
      <c r="H19" s="11"/>
      <c r="I19" s="7" t="s">
        <v>272</v>
      </c>
      <c r="J19" s="34" t="s">
        <v>273</v>
      </c>
      <c r="K19" s="7" t="s">
        <v>53</v>
      </c>
      <c r="L19" s="25">
        <v>4.4</v>
      </c>
      <c r="M19" s="14">
        <v>335.0</v>
      </c>
      <c r="N19" s="19">
        <v>176100.0</v>
      </c>
      <c r="O19" s="20" t="s">
        <v>30</v>
      </c>
      <c r="P19" s="28"/>
      <c r="Q19" s="7" t="s">
        <v>33</v>
      </c>
      <c r="R19" s="20" t="s">
        <v>276</v>
      </c>
      <c r="W19" s="7"/>
    </row>
    <row r="20">
      <c r="O20" s="20" t="s">
        <v>327</v>
      </c>
    </row>
    <row r="27">
      <c r="J27" s="34" t="s">
        <v>329</v>
      </c>
    </row>
    <row r="28">
      <c r="J28" s="20" t="s">
        <v>334</v>
      </c>
    </row>
  </sheetData>
  <mergeCells count="4">
    <mergeCell ref="C8:D8"/>
    <mergeCell ref="C9:D9"/>
    <mergeCell ref="C13:D13"/>
    <mergeCell ref="C14:D14"/>
  </mergeCells>
  <dataValidations>
    <dataValidation type="list" allowBlank="1" showErrorMessage="1" sqref="O2:O19">
      <formula1>"PayPal,Crypto,Debit/Credit Card,PayPal, Crypto,Paypal, Debit/Credit Card,Crypto, Debit/Credit Card,PayPal, Crypto, Debit/Credit Card"</formula1>
    </dataValidation>
    <dataValidation type="list" allowBlank="1" showErrorMessage="1" sqref="P2:P19">
      <formula1>"PayPal,Crypto,Bank,PayPal, Crypto,Paypal, Bank,Crypto, Bank,PayPal, Crypto, Bank"</formula1>
    </dataValidation>
  </dataValidations>
  <hyperlinks>
    <hyperlink r:id="rId2" ref="A2"/>
    <hyperlink r:id="rId3" ref="J2"/>
    <hyperlink r:id="rId4" ref="A3"/>
    <hyperlink r:id="rId5" ref="J3"/>
    <hyperlink r:id="rId6" ref="A4"/>
    <hyperlink r:id="rId7" ref="J4"/>
    <hyperlink r:id="rId8" ref="A5"/>
    <hyperlink r:id="rId9" ref="J5"/>
    <hyperlink r:id="rId10" ref="A6"/>
    <hyperlink r:id="rId11" ref="J6"/>
    <hyperlink r:id="rId12" ref="A7"/>
    <hyperlink r:id="rId13" ref="J7"/>
    <hyperlink r:id="rId14" ref="A8"/>
    <hyperlink r:id="rId15" ref="J8"/>
    <hyperlink r:id="rId16" ref="A9"/>
    <hyperlink r:id="rId17" ref="J9"/>
    <hyperlink r:id="rId18" ref="A10"/>
    <hyperlink r:id="rId19" ref="J10"/>
    <hyperlink r:id="rId20" ref="A11"/>
    <hyperlink r:id="rId21" ref="J11"/>
    <hyperlink r:id="rId22" ref="A12"/>
    <hyperlink r:id="rId23" ref="J12"/>
    <hyperlink r:id="rId24" ref="A13"/>
    <hyperlink r:id="rId25" ref="J13"/>
    <hyperlink r:id="rId26" ref="A14"/>
    <hyperlink r:id="rId27" ref="J14"/>
    <hyperlink r:id="rId28" ref="A15"/>
    <hyperlink r:id="rId29" ref="A16"/>
    <hyperlink r:id="rId30" ref="A17"/>
    <hyperlink r:id="rId31" ref="A18"/>
    <hyperlink r:id="rId32" ref="A19"/>
    <hyperlink r:id="rId33" ref="J19"/>
    <hyperlink r:id="rId34" ref="J27"/>
  </hyperlinks>
  <drawing r:id="rId35"/>
  <legacyDrawing r:id="rId3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25"/>
    <col customWidth="1" min="2" max="2" width="27.0"/>
    <col customWidth="1" min="8" max="8" width="35.88"/>
    <col customWidth="1" min="9" max="9" width="16.75"/>
    <col customWidth="1" min="11" max="11" width="14.5"/>
    <col customWidth="1" min="12" max="12" width="16.25"/>
    <col customWidth="1" min="13" max="13" width="12.0"/>
    <col customWidth="1" min="14" max="14" width="35.38"/>
    <col customWidth="1" min="15" max="15" width="40.25"/>
    <col customWidth="1" min="16" max="16" width="16.0"/>
    <col customWidth="1" min="17" max="17" width="86.25"/>
    <col customWidth="1" min="18" max="18" width="65.5"/>
  </cols>
  <sheetData>
    <row r="1">
      <c r="A1" s="1" t="s">
        <v>0</v>
      </c>
      <c r="B1" s="1" t="s">
        <v>1</v>
      </c>
      <c r="C1" s="1" t="s">
        <v>2</v>
      </c>
      <c r="D1" s="1" t="s">
        <v>3</v>
      </c>
      <c r="E1" s="4" t="s">
        <v>396</v>
      </c>
      <c r="F1" s="1" t="s">
        <v>6</v>
      </c>
      <c r="G1" s="1" t="s">
        <v>7</v>
      </c>
      <c r="H1" s="1" t="s">
        <v>8</v>
      </c>
      <c r="I1" s="1" t="s">
        <v>9</v>
      </c>
      <c r="J1" s="1" t="s">
        <v>10</v>
      </c>
      <c r="K1" s="1" t="s">
        <v>11</v>
      </c>
      <c r="L1" s="4" t="s">
        <v>12</v>
      </c>
      <c r="M1" s="4" t="s">
        <v>13</v>
      </c>
      <c r="N1" s="5" t="s">
        <v>14</v>
      </c>
      <c r="O1" s="5" t="s">
        <v>15</v>
      </c>
      <c r="P1" s="1" t="s">
        <v>16</v>
      </c>
      <c r="Q1" s="20" t="s">
        <v>410</v>
      </c>
      <c r="R1" s="20" t="s">
        <v>412</v>
      </c>
      <c r="T1" s="4" t="s">
        <v>413</v>
      </c>
    </row>
    <row r="2">
      <c r="A2" s="6" t="s">
        <v>22</v>
      </c>
      <c r="B2" s="7" t="s">
        <v>422</v>
      </c>
      <c r="C2" s="9" t="s">
        <v>423</v>
      </c>
      <c r="E2" s="22">
        <v>0.59</v>
      </c>
      <c r="F2" s="10" t="s">
        <v>425</v>
      </c>
      <c r="G2" s="10" t="s">
        <v>48</v>
      </c>
      <c r="H2" s="10" t="s">
        <v>62</v>
      </c>
      <c r="I2" s="24" t="s">
        <v>64</v>
      </c>
      <c r="J2" s="10" t="s">
        <v>53</v>
      </c>
      <c r="K2" s="12">
        <v>4.7</v>
      </c>
      <c r="L2" s="19">
        <v>18305.0</v>
      </c>
      <c r="M2" s="15">
        <v>3206000.0</v>
      </c>
      <c r="N2" s="20" t="s">
        <v>57</v>
      </c>
      <c r="O2" s="20" t="s">
        <v>59</v>
      </c>
      <c r="P2" s="7" t="s">
        <v>74</v>
      </c>
      <c r="Q2" s="20" t="s">
        <v>443</v>
      </c>
      <c r="R2" s="20" t="s">
        <v>445</v>
      </c>
      <c r="T2" s="7" t="s">
        <v>447</v>
      </c>
    </row>
    <row r="3">
      <c r="A3" s="6" t="s">
        <v>55</v>
      </c>
      <c r="B3" s="7" t="s">
        <v>454</v>
      </c>
      <c r="C3" s="40">
        <v>0.025</v>
      </c>
      <c r="D3" s="13">
        <v>0.02</v>
      </c>
      <c r="E3" s="13"/>
      <c r="F3" s="57" t="s">
        <v>66</v>
      </c>
      <c r="G3" s="7" t="s">
        <v>48</v>
      </c>
      <c r="H3" s="10" t="s">
        <v>26</v>
      </c>
      <c r="I3" s="24" t="s">
        <v>67</v>
      </c>
      <c r="J3" s="10"/>
      <c r="K3" s="12">
        <v>4.1</v>
      </c>
      <c r="L3" s="19">
        <v>19956.0</v>
      </c>
      <c r="M3" s="15">
        <v>2872000.0</v>
      </c>
      <c r="N3" s="20" t="s">
        <v>31</v>
      </c>
      <c r="O3" s="20" t="s">
        <v>260</v>
      </c>
      <c r="P3" s="10" t="s">
        <v>120</v>
      </c>
      <c r="Q3" s="20" t="s">
        <v>455</v>
      </c>
      <c r="R3" s="20" t="s">
        <v>456</v>
      </c>
      <c r="T3" s="7" t="s">
        <v>457</v>
      </c>
    </row>
    <row r="4">
      <c r="A4" s="6" t="s">
        <v>101</v>
      </c>
      <c r="B4" s="7" t="s">
        <v>41</v>
      </c>
      <c r="C4" s="20" t="s">
        <v>103</v>
      </c>
      <c r="D4" s="9" t="s">
        <v>104</v>
      </c>
      <c r="E4" s="9" t="s">
        <v>105</v>
      </c>
      <c r="F4" s="22">
        <v>-0.15</v>
      </c>
      <c r="G4" s="22">
        <v>0.0</v>
      </c>
      <c r="H4" s="22">
        <v>0.0</v>
      </c>
      <c r="I4" s="7" t="s">
        <v>108</v>
      </c>
      <c r="J4" s="17" t="s">
        <v>109</v>
      </c>
      <c r="K4" s="7" t="s">
        <v>53</v>
      </c>
      <c r="L4" s="25">
        <v>3.8</v>
      </c>
      <c r="M4" s="14">
        <v>155.0</v>
      </c>
      <c r="N4" s="19">
        <v>131700.0</v>
      </c>
      <c r="O4" s="20" t="s">
        <v>31</v>
      </c>
      <c r="P4" s="20" t="s">
        <v>59</v>
      </c>
      <c r="Q4" s="10" t="s">
        <v>96</v>
      </c>
      <c r="R4" s="20" t="s">
        <v>111</v>
      </c>
      <c r="S4" s="20" t="s">
        <v>112</v>
      </c>
      <c r="W4" s="7"/>
    </row>
    <row r="5">
      <c r="A5" s="6" t="s">
        <v>19</v>
      </c>
      <c r="B5" s="7" t="s">
        <v>454</v>
      </c>
      <c r="C5" s="13">
        <v>0.0</v>
      </c>
      <c r="D5" s="10" t="s">
        <v>474</v>
      </c>
      <c r="E5" s="10"/>
      <c r="F5" s="13">
        <v>0.0</v>
      </c>
      <c r="G5" s="13">
        <v>0.0</v>
      </c>
      <c r="H5" s="10" t="s">
        <v>26</v>
      </c>
      <c r="I5" s="6" t="s">
        <v>27</v>
      </c>
      <c r="J5" s="10"/>
      <c r="K5" s="58">
        <v>4.9</v>
      </c>
      <c r="L5" s="19">
        <v>33913.0</v>
      </c>
      <c r="M5" s="15">
        <v>4022000.0</v>
      </c>
      <c r="N5" s="20" t="s">
        <v>180</v>
      </c>
      <c r="O5" s="20" t="s">
        <v>32</v>
      </c>
      <c r="P5" s="10" t="s">
        <v>120</v>
      </c>
      <c r="Q5" s="20" t="s">
        <v>480</v>
      </c>
      <c r="R5" s="20" t="s">
        <v>35</v>
      </c>
      <c r="T5" s="7" t="s">
        <v>481</v>
      </c>
    </row>
    <row r="6">
      <c r="A6" s="6" t="s">
        <v>36</v>
      </c>
      <c r="B6" s="7" t="s">
        <v>489</v>
      </c>
      <c r="C6" s="3" t="s">
        <v>490</v>
      </c>
      <c r="D6" s="3"/>
      <c r="E6" s="22">
        <v>0.68</v>
      </c>
      <c r="F6" s="13">
        <v>0.0</v>
      </c>
      <c r="G6" s="59" t="s">
        <v>491</v>
      </c>
      <c r="H6" s="10" t="s">
        <v>26</v>
      </c>
      <c r="I6" s="23" t="s">
        <v>49</v>
      </c>
      <c r="J6" s="10"/>
      <c r="K6" s="58">
        <v>4.8</v>
      </c>
      <c r="L6" s="19">
        <v>2700.0</v>
      </c>
      <c r="M6" s="15">
        <v>9593000.0</v>
      </c>
      <c r="N6" s="20" t="s">
        <v>57</v>
      </c>
      <c r="O6" s="20" t="s">
        <v>59</v>
      </c>
      <c r="P6" s="10" t="s">
        <v>158</v>
      </c>
      <c r="Q6" s="20" t="s">
        <v>497</v>
      </c>
      <c r="R6" s="20" t="s">
        <v>498</v>
      </c>
      <c r="T6" s="7" t="s">
        <v>500</v>
      </c>
    </row>
    <row r="7">
      <c r="A7" s="6" t="s">
        <v>65</v>
      </c>
      <c r="B7" s="7" t="s">
        <v>489</v>
      </c>
      <c r="C7" s="3" t="s">
        <v>490</v>
      </c>
      <c r="D7" s="3"/>
      <c r="E7" s="22">
        <v>0.68</v>
      </c>
      <c r="F7" s="32" t="s">
        <v>508</v>
      </c>
      <c r="G7" s="3"/>
      <c r="H7" s="10" t="s">
        <v>26</v>
      </c>
      <c r="I7" s="24" t="s">
        <v>76</v>
      </c>
      <c r="J7" s="10"/>
      <c r="K7" s="12">
        <v>4.8</v>
      </c>
      <c r="L7" s="19">
        <v>1659.0</v>
      </c>
      <c r="M7" s="19">
        <v>539646.0</v>
      </c>
      <c r="N7" s="20" t="s">
        <v>142</v>
      </c>
      <c r="O7" s="20" t="s">
        <v>37</v>
      </c>
      <c r="P7" s="10" t="s">
        <v>158</v>
      </c>
      <c r="Q7" s="20" t="s">
        <v>518</v>
      </c>
      <c r="R7" s="20" t="s">
        <v>519</v>
      </c>
      <c r="T7" s="7" t="s">
        <v>142</v>
      </c>
    </row>
    <row r="8">
      <c r="A8" s="6" t="s">
        <v>80</v>
      </c>
      <c r="B8" s="7" t="s">
        <v>422</v>
      </c>
      <c r="C8" s="9" t="s">
        <v>528</v>
      </c>
      <c r="E8" s="22">
        <v>0.6</v>
      </c>
      <c r="F8" s="31">
        <v>0.0</v>
      </c>
      <c r="G8" s="59" t="s">
        <v>529</v>
      </c>
      <c r="H8" s="7" t="s">
        <v>91</v>
      </c>
      <c r="I8" s="6" t="s">
        <v>530</v>
      </c>
      <c r="J8" s="7" t="s">
        <v>53</v>
      </c>
      <c r="K8" s="12">
        <v>4.7</v>
      </c>
      <c r="L8" s="12">
        <v>744.0</v>
      </c>
      <c r="M8" s="19">
        <v>224458.0</v>
      </c>
      <c r="N8" s="20" t="s">
        <v>142</v>
      </c>
      <c r="O8" s="20" t="s">
        <v>68</v>
      </c>
      <c r="P8" s="10" t="s">
        <v>96</v>
      </c>
      <c r="R8" s="20" t="s">
        <v>538</v>
      </c>
      <c r="T8" s="7" t="s">
        <v>539</v>
      </c>
    </row>
    <row r="9">
      <c r="A9" s="6" t="s">
        <v>149</v>
      </c>
      <c r="B9" s="7" t="s">
        <v>489</v>
      </c>
      <c r="C9" s="3"/>
      <c r="E9" s="22">
        <v>0.68</v>
      </c>
      <c r="F9" s="59"/>
      <c r="G9" s="59" t="s">
        <v>509</v>
      </c>
      <c r="H9" s="7" t="s">
        <v>179</v>
      </c>
      <c r="I9" s="24" t="s">
        <v>181</v>
      </c>
      <c r="J9" s="10"/>
      <c r="K9" s="12">
        <v>4.1</v>
      </c>
      <c r="L9" s="19">
        <v>1050.0</v>
      </c>
      <c r="M9" s="19">
        <v>193923.0</v>
      </c>
      <c r="N9" s="28"/>
      <c r="O9" s="20" t="s">
        <v>37</v>
      </c>
      <c r="P9" s="10" t="s">
        <v>158</v>
      </c>
      <c r="Q9" s="20" t="s">
        <v>550</v>
      </c>
      <c r="R9" s="20" t="s">
        <v>551</v>
      </c>
    </row>
    <row r="10">
      <c r="A10" s="6" t="s">
        <v>319</v>
      </c>
      <c r="B10" s="10" t="s">
        <v>147</v>
      </c>
      <c r="C10" s="13">
        <v>0.0</v>
      </c>
      <c r="D10" s="13">
        <v>0.05</v>
      </c>
      <c r="E10" s="13"/>
      <c r="F10" s="57" t="s">
        <v>45</v>
      </c>
      <c r="G10" s="57" t="s">
        <v>132</v>
      </c>
      <c r="H10" s="10" t="s">
        <v>26</v>
      </c>
      <c r="I10" s="24" t="s">
        <v>322</v>
      </c>
      <c r="J10" s="10"/>
      <c r="K10" s="12">
        <v>3.5</v>
      </c>
      <c r="L10" s="12">
        <v>58.0</v>
      </c>
      <c r="M10" s="19">
        <v>455624.0</v>
      </c>
      <c r="N10" s="20" t="s">
        <v>31</v>
      </c>
      <c r="O10" s="20" t="s">
        <v>142</v>
      </c>
      <c r="P10" s="10" t="s">
        <v>96</v>
      </c>
      <c r="Q10" s="20" t="s">
        <v>323</v>
      </c>
      <c r="R10" s="20" t="s">
        <v>563</v>
      </c>
      <c r="T10" s="7" t="s">
        <v>565</v>
      </c>
    </row>
    <row r="11">
      <c r="A11" s="6" t="s">
        <v>174</v>
      </c>
      <c r="B11" s="7" t="s">
        <v>127</v>
      </c>
      <c r="C11" s="9"/>
      <c r="E11" s="22">
        <v>0.62</v>
      </c>
      <c r="F11" s="9"/>
      <c r="G11" s="9" t="s">
        <v>570</v>
      </c>
      <c r="H11" s="10" t="s">
        <v>186</v>
      </c>
      <c r="I11" s="24" t="s">
        <v>187</v>
      </c>
      <c r="J11" s="10" t="s">
        <v>53</v>
      </c>
      <c r="K11" s="12">
        <v>4.4</v>
      </c>
      <c r="L11" s="19">
        <v>2207.0</v>
      </c>
      <c r="M11" s="19">
        <v>122281.0</v>
      </c>
      <c r="N11" s="28"/>
      <c r="O11" s="20" t="s">
        <v>68</v>
      </c>
      <c r="P11" s="10" t="s">
        <v>195</v>
      </c>
      <c r="R11" s="20" t="s">
        <v>575</v>
      </c>
      <c r="T11" s="10"/>
    </row>
    <row r="12">
      <c r="A12" s="6" t="s">
        <v>124</v>
      </c>
      <c r="B12" s="7" t="s">
        <v>127</v>
      </c>
      <c r="C12" s="9"/>
      <c r="E12" s="22">
        <v>0.63</v>
      </c>
      <c r="F12" s="9"/>
      <c r="G12" s="9" t="s">
        <v>128</v>
      </c>
      <c r="H12" s="7" t="s">
        <v>131</v>
      </c>
      <c r="I12" s="17" t="s">
        <v>133</v>
      </c>
      <c r="J12" s="7" t="s">
        <v>53</v>
      </c>
      <c r="K12" s="12">
        <v>4.6</v>
      </c>
      <c r="L12" s="12">
        <v>190.0</v>
      </c>
      <c r="M12" s="19">
        <v>50017.0</v>
      </c>
      <c r="N12" s="28"/>
      <c r="O12" s="20" t="s">
        <v>37</v>
      </c>
      <c r="P12" s="10" t="s">
        <v>120</v>
      </c>
      <c r="R12" s="20" t="s">
        <v>583</v>
      </c>
      <c r="T12" s="10"/>
    </row>
    <row r="13">
      <c r="A13" s="6" t="s">
        <v>525</v>
      </c>
      <c r="B13" s="10" t="s">
        <v>147</v>
      </c>
      <c r="C13" s="10" t="s">
        <v>435</v>
      </c>
      <c r="D13" s="13">
        <v>0.03</v>
      </c>
      <c r="E13" s="13"/>
      <c r="F13" s="57" t="s">
        <v>591</v>
      </c>
      <c r="G13" s="40">
        <v>0.025</v>
      </c>
      <c r="H13" s="7" t="s">
        <v>594</v>
      </c>
      <c r="I13" s="24" t="s">
        <v>595</v>
      </c>
      <c r="J13" s="10"/>
      <c r="K13" s="26">
        <v>4.0</v>
      </c>
      <c r="L13" s="19">
        <v>1442.0</v>
      </c>
      <c r="M13" s="19">
        <v>316931.0</v>
      </c>
      <c r="N13" s="20" t="s">
        <v>57</v>
      </c>
      <c r="O13" s="20" t="s">
        <v>59</v>
      </c>
      <c r="P13" s="10" t="s">
        <v>96</v>
      </c>
      <c r="Q13" s="20" t="s">
        <v>596</v>
      </c>
      <c r="R13" s="20" t="s">
        <v>597</v>
      </c>
      <c r="T13" s="7" t="s">
        <v>598</v>
      </c>
    </row>
    <row r="14">
      <c r="A14" s="6" t="s">
        <v>236</v>
      </c>
      <c r="B14" s="7" t="s">
        <v>601</v>
      </c>
      <c r="C14" s="32" t="s">
        <v>602</v>
      </c>
      <c r="E14" s="22">
        <v>0.62</v>
      </c>
      <c r="F14" s="3"/>
      <c r="G14" s="3"/>
      <c r="H14" s="10" t="s">
        <v>26</v>
      </c>
      <c r="I14" s="24" t="s">
        <v>606</v>
      </c>
      <c r="J14" s="10"/>
      <c r="K14" s="58">
        <v>4.6</v>
      </c>
      <c r="L14" s="19">
        <v>2321.0</v>
      </c>
      <c r="M14" s="19">
        <v>396863.0</v>
      </c>
      <c r="N14" s="20" t="s">
        <v>31</v>
      </c>
      <c r="O14" s="20" t="s">
        <v>59</v>
      </c>
      <c r="P14" s="10" t="s">
        <v>349</v>
      </c>
      <c r="Q14" s="20" t="s">
        <v>245</v>
      </c>
      <c r="R14" s="20" t="s">
        <v>246</v>
      </c>
      <c r="T14" s="7" t="s">
        <v>607</v>
      </c>
    </row>
    <row r="15">
      <c r="A15" s="6" t="s">
        <v>20</v>
      </c>
      <c r="B15" s="7" t="s">
        <v>422</v>
      </c>
      <c r="C15" s="9" t="s">
        <v>612</v>
      </c>
      <c r="E15" s="22">
        <v>0.57</v>
      </c>
      <c r="F15" s="9" t="s">
        <v>614</v>
      </c>
      <c r="G15" s="9" t="s">
        <v>615</v>
      </c>
      <c r="H15" s="10" t="s">
        <v>50</v>
      </c>
      <c r="I15" s="24" t="s">
        <v>51</v>
      </c>
      <c r="J15" s="10" t="s">
        <v>53</v>
      </c>
      <c r="K15" s="12">
        <v>4.4</v>
      </c>
      <c r="L15" s="19">
        <v>1425.0</v>
      </c>
      <c r="M15" s="19">
        <v>254389.0</v>
      </c>
      <c r="N15" s="20" t="s">
        <v>31</v>
      </c>
      <c r="O15" s="20" t="s">
        <v>68</v>
      </c>
      <c r="P15" s="10" t="s">
        <v>195</v>
      </c>
      <c r="Q15" s="20" t="s">
        <v>617</v>
      </c>
      <c r="R15" s="20" t="s">
        <v>618</v>
      </c>
      <c r="T15" s="7" t="s">
        <v>620</v>
      </c>
    </row>
    <row r="16">
      <c r="A16" s="6" t="s">
        <v>259</v>
      </c>
      <c r="B16" s="7" t="s">
        <v>422</v>
      </c>
      <c r="C16" s="3" t="s">
        <v>624</v>
      </c>
      <c r="E16" s="22">
        <v>0.66</v>
      </c>
      <c r="F16" s="9" t="s">
        <v>116</v>
      </c>
      <c r="G16" s="9" t="s">
        <v>267</v>
      </c>
      <c r="H16" s="10" t="s">
        <v>268</v>
      </c>
      <c r="I16" s="24" t="s">
        <v>269</v>
      </c>
      <c r="J16" s="10" t="s">
        <v>53</v>
      </c>
      <c r="K16" s="12">
        <v>4.5</v>
      </c>
      <c r="L16" s="12">
        <v>305.0</v>
      </c>
      <c r="M16" s="19">
        <v>36546.0</v>
      </c>
      <c r="N16" s="20" t="s">
        <v>31</v>
      </c>
      <c r="O16" s="20" t="s">
        <v>37</v>
      </c>
      <c r="P16" s="10" t="s">
        <v>195</v>
      </c>
      <c r="Q16" s="20" t="s">
        <v>274</v>
      </c>
      <c r="R16" s="20" t="s">
        <v>631</v>
      </c>
      <c r="T16" s="7" t="s">
        <v>633</v>
      </c>
    </row>
    <row r="17">
      <c r="A17" s="6" t="s">
        <v>155</v>
      </c>
      <c r="B17" s="7" t="s">
        <v>162</v>
      </c>
      <c r="C17" s="9" t="s">
        <v>636</v>
      </c>
      <c r="E17" s="9"/>
      <c r="F17" s="9" t="s">
        <v>638</v>
      </c>
      <c r="G17" s="11"/>
      <c r="H17" s="10" t="s">
        <v>170</v>
      </c>
      <c r="I17" s="24" t="s">
        <v>171</v>
      </c>
      <c r="J17" s="10" t="s">
        <v>53</v>
      </c>
      <c r="K17" s="12">
        <v>4.8</v>
      </c>
      <c r="L17" s="12">
        <v>62.0</v>
      </c>
      <c r="M17" s="19">
        <v>190668.0</v>
      </c>
      <c r="N17" s="20" t="s">
        <v>180</v>
      </c>
      <c r="O17" s="28"/>
      <c r="P17" s="10" t="s">
        <v>195</v>
      </c>
      <c r="Q17" s="20" t="s">
        <v>640</v>
      </c>
      <c r="T17" s="10"/>
    </row>
    <row r="18">
      <c r="A18" s="6" t="s">
        <v>21</v>
      </c>
      <c r="B18" s="7" t="s">
        <v>454</v>
      </c>
      <c r="C18" s="10"/>
      <c r="D18" s="13">
        <v>0.05</v>
      </c>
      <c r="E18" s="13"/>
      <c r="F18" s="12" t="s">
        <v>161</v>
      </c>
      <c r="G18" s="12" t="s">
        <v>28</v>
      </c>
      <c r="H18" s="10" t="s">
        <v>26</v>
      </c>
      <c r="I18" s="17" t="s">
        <v>29</v>
      </c>
      <c r="J18" s="10"/>
      <c r="K18" s="12">
        <v>4.2</v>
      </c>
      <c r="L18" s="19">
        <v>2846.0</v>
      </c>
      <c r="M18" s="19">
        <v>1359000.0</v>
      </c>
      <c r="N18" s="20" t="s">
        <v>31</v>
      </c>
      <c r="O18" s="20" t="s">
        <v>37</v>
      </c>
      <c r="P18" s="10" t="s">
        <v>120</v>
      </c>
      <c r="Q18" s="20" t="s">
        <v>648</v>
      </c>
      <c r="R18" s="20" t="s">
        <v>649</v>
      </c>
      <c r="T18" s="7" t="s">
        <v>651</v>
      </c>
    </row>
    <row r="19">
      <c r="A19" s="6" t="s">
        <v>143</v>
      </c>
      <c r="B19" s="10" t="s">
        <v>147</v>
      </c>
      <c r="C19" s="31">
        <v>0.0</v>
      </c>
      <c r="D19" s="13">
        <v>0.06</v>
      </c>
      <c r="E19" s="13"/>
      <c r="F19" s="57" t="s">
        <v>48</v>
      </c>
      <c r="G19" s="57" t="s">
        <v>150</v>
      </c>
      <c r="H19" s="10" t="s">
        <v>26</v>
      </c>
      <c r="I19" s="24" t="s">
        <v>151</v>
      </c>
      <c r="J19" s="10"/>
      <c r="K19" s="58">
        <v>4.1</v>
      </c>
      <c r="L19" s="12">
        <v>440.0</v>
      </c>
      <c r="M19" s="19">
        <v>634208.0</v>
      </c>
      <c r="N19" s="20" t="s">
        <v>31</v>
      </c>
      <c r="O19" s="20" t="s">
        <v>142</v>
      </c>
      <c r="P19" s="10" t="s">
        <v>120</v>
      </c>
      <c r="Q19" s="20" t="s">
        <v>657</v>
      </c>
      <c r="R19" s="20" t="s">
        <v>658</v>
      </c>
      <c r="T19" s="7" t="s">
        <v>659</v>
      </c>
    </row>
    <row r="20">
      <c r="A20" s="6" t="s">
        <v>560</v>
      </c>
      <c r="B20" s="7" t="s">
        <v>454</v>
      </c>
      <c r="C20" s="10"/>
      <c r="D20" s="10" t="s">
        <v>311</v>
      </c>
      <c r="E20" s="10"/>
      <c r="F20" s="7" t="s">
        <v>662</v>
      </c>
      <c r="G20" s="7" t="s">
        <v>161</v>
      </c>
      <c r="H20" s="10" t="s">
        <v>26</v>
      </c>
      <c r="I20" s="17" t="s">
        <v>664</v>
      </c>
      <c r="J20" s="7" t="s">
        <v>53</v>
      </c>
      <c r="K20" s="12">
        <v>4.3</v>
      </c>
      <c r="L20" s="19">
        <v>2002.0</v>
      </c>
      <c r="M20" s="19">
        <v>1542000.0</v>
      </c>
      <c r="N20" s="20" t="s">
        <v>31</v>
      </c>
      <c r="O20" s="20" t="s">
        <v>59</v>
      </c>
      <c r="P20" s="10" t="s">
        <v>261</v>
      </c>
      <c r="Q20" s="20" t="s">
        <v>665</v>
      </c>
      <c r="R20" s="20" t="s">
        <v>666</v>
      </c>
      <c r="T20" s="7" t="s">
        <v>667</v>
      </c>
    </row>
    <row r="21">
      <c r="A21" s="6" t="s">
        <v>231</v>
      </c>
      <c r="B21" s="7" t="s">
        <v>201</v>
      </c>
      <c r="C21" s="31">
        <v>0.0</v>
      </c>
      <c r="D21" s="31">
        <v>0.05</v>
      </c>
      <c r="E21" s="22">
        <v>0.64</v>
      </c>
      <c r="F21" s="7" t="s">
        <v>674</v>
      </c>
      <c r="G21" s="31">
        <v>0.05</v>
      </c>
      <c r="H21" s="10" t="s">
        <v>26</v>
      </c>
      <c r="I21" s="24" t="s">
        <v>242</v>
      </c>
      <c r="J21" s="10"/>
      <c r="K21" s="12">
        <v>4.1</v>
      </c>
      <c r="L21" s="12">
        <v>744.0</v>
      </c>
      <c r="M21" s="19">
        <v>1115000.0</v>
      </c>
      <c r="N21" s="20" t="s">
        <v>31</v>
      </c>
      <c r="O21" s="20" t="s">
        <v>37</v>
      </c>
      <c r="P21" s="10" t="s">
        <v>158</v>
      </c>
      <c r="Q21" s="20" t="s">
        <v>679</v>
      </c>
      <c r="R21" s="20" t="s">
        <v>680</v>
      </c>
      <c r="T21" s="7" t="s">
        <v>683</v>
      </c>
    </row>
    <row r="22">
      <c r="A22" s="6" t="s">
        <v>110</v>
      </c>
      <c r="B22" s="7" t="s">
        <v>687</v>
      </c>
      <c r="C22" s="13">
        <v>0.0</v>
      </c>
      <c r="D22" s="13">
        <v>0.02</v>
      </c>
      <c r="E22" s="13"/>
      <c r="F22" s="12" t="s">
        <v>689</v>
      </c>
      <c r="G22" s="12" t="s">
        <v>690</v>
      </c>
      <c r="H22" s="10" t="s">
        <v>26</v>
      </c>
      <c r="I22" s="6" t="s">
        <v>119</v>
      </c>
      <c r="J22" s="10"/>
      <c r="K22" s="12">
        <v>4.4</v>
      </c>
      <c r="L22" s="12">
        <v>446.0</v>
      </c>
      <c r="M22" s="19">
        <v>464618.0</v>
      </c>
      <c r="N22" s="20" t="s">
        <v>57</v>
      </c>
      <c r="O22" s="20" t="s">
        <v>59</v>
      </c>
      <c r="P22" s="10" t="s">
        <v>120</v>
      </c>
      <c r="Q22" s="20" t="s">
        <v>122</v>
      </c>
      <c r="R22" s="20" t="s">
        <v>694</v>
      </c>
      <c r="T22" s="7" t="s">
        <v>500</v>
      </c>
    </row>
    <row r="23">
      <c r="A23" s="6" t="s">
        <v>157</v>
      </c>
      <c r="B23" s="7" t="s">
        <v>127</v>
      </c>
      <c r="C23" s="9"/>
      <c r="E23" s="22">
        <v>0.61</v>
      </c>
      <c r="F23" s="9"/>
      <c r="G23" s="9" t="s">
        <v>161</v>
      </c>
      <c r="H23" s="7" t="s">
        <v>163</v>
      </c>
      <c r="I23" s="6" t="s">
        <v>165</v>
      </c>
      <c r="J23" s="10"/>
      <c r="K23" s="58">
        <v>4.2</v>
      </c>
      <c r="L23" s="19">
        <v>9842.0</v>
      </c>
      <c r="M23" s="19">
        <v>958320.0</v>
      </c>
      <c r="N23" s="28"/>
      <c r="O23" s="20" t="s">
        <v>37</v>
      </c>
      <c r="P23" s="10" t="s">
        <v>120</v>
      </c>
      <c r="R23" s="20" t="s">
        <v>698</v>
      </c>
      <c r="T23" s="10"/>
    </row>
    <row r="24">
      <c r="A24" s="33" t="s">
        <v>352</v>
      </c>
      <c r="B24" s="20" t="s">
        <v>127</v>
      </c>
      <c r="C24" s="44"/>
      <c r="E24" s="30">
        <v>0.42</v>
      </c>
      <c r="F24" s="44"/>
      <c r="G24" s="21" t="s">
        <v>703</v>
      </c>
      <c r="I24" s="34" t="s">
        <v>356</v>
      </c>
      <c r="J24" s="20" t="s">
        <v>53</v>
      </c>
      <c r="K24" s="7">
        <v>3.1</v>
      </c>
      <c r="L24" s="7">
        <v>4.0</v>
      </c>
      <c r="M24" s="35">
        <v>38442.0</v>
      </c>
      <c r="N24" s="28"/>
      <c r="O24" s="20" t="s">
        <v>68</v>
      </c>
      <c r="P24" s="10" t="s">
        <v>96</v>
      </c>
      <c r="R24" s="20" t="s">
        <v>705</v>
      </c>
    </row>
    <row r="25">
      <c r="A25" s="6" t="s">
        <v>118</v>
      </c>
      <c r="B25" s="7" t="s">
        <v>489</v>
      </c>
      <c r="C25" s="3" t="s">
        <v>709</v>
      </c>
      <c r="D25" s="3"/>
      <c r="E25" s="22">
        <v>0.7</v>
      </c>
      <c r="F25" s="9" t="s">
        <v>132</v>
      </c>
      <c r="G25" s="27">
        <v>1.0</v>
      </c>
      <c r="H25" s="10" t="s">
        <v>26</v>
      </c>
      <c r="I25" s="17" t="s">
        <v>139</v>
      </c>
      <c r="J25" s="10"/>
      <c r="K25" s="12">
        <v>4.5</v>
      </c>
      <c r="L25" s="19">
        <v>796.0</v>
      </c>
      <c r="M25" s="19">
        <v>1920000.0</v>
      </c>
      <c r="N25" s="20" t="s">
        <v>142</v>
      </c>
      <c r="O25" s="20" t="s">
        <v>142</v>
      </c>
      <c r="P25" s="7" t="s">
        <v>158</v>
      </c>
      <c r="Q25" s="20" t="s">
        <v>144</v>
      </c>
      <c r="R25" s="20" t="s">
        <v>145</v>
      </c>
      <c r="T25" s="7"/>
    </row>
    <row r="26">
      <c r="A26" s="6" t="s">
        <v>712</v>
      </c>
      <c r="B26" s="7" t="s">
        <v>489</v>
      </c>
      <c r="C26" s="3" t="s">
        <v>715</v>
      </c>
      <c r="D26" s="3"/>
      <c r="E26" s="22">
        <v>0.56</v>
      </c>
      <c r="F26" s="3"/>
      <c r="G26" s="3"/>
      <c r="H26" s="10" t="s">
        <v>719</v>
      </c>
      <c r="I26" s="24" t="s">
        <v>720</v>
      </c>
      <c r="J26" s="10" t="s">
        <v>53</v>
      </c>
      <c r="K26" s="12">
        <v>3.8</v>
      </c>
      <c r="L26" s="12">
        <v>32.0</v>
      </c>
      <c r="M26" s="19">
        <v>36904.0</v>
      </c>
      <c r="N26" s="20" t="s">
        <v>180</v>
      </c>
      <c r="O26" s="20" t="s">
        <v>260</v>
      </c>
      <c r="P26" s="10" t="s">
        <v>261</v>
      </c>
      <c r="Q26" s="20" t="s">
        <v>723</v>
      </c>
      <c r="T26" s="7" t="s">
        <v>726</v>
      </c>
    </row>
    <row r="27">
      <c r="A27" s="6" t="s">
        <v>727</v>
      </c>
      <c r="B27" s="7" t="s">
        <v>729</v>
      </c>
      <c r="C27" s="3"/>
      <c r="D27" s="3"/>
      <c r="E27" s="9"/>
      <c r="F27" s="22">
        <v>0.0</v>
      </c>
      <c r="G27" s="3"/>
      <c r="H27" s="10" t="s">
        <v>26</v>
      </c>
      <c r="I27" s="24" t="s">
        <v>733</v>
      </c>
      <c r="J27" s="10"/>
      <c r="K27" s="12">
        <v>3.3</v>
      </c>
      <c r="L27" s="12">
        <v>7.0</v>
      </c>
      <c r="M27" s="19">
        <v>2900.0</v>
      </c>
      <c r="N27" s="20" t="s">
        <v>31</v>
      </c>
      <c r="O27" s="28"/>
      <c r="P27" s="10" t="s">
        <v>739</v>
      </c>
      <c r="Q27" s="20" t="s">
        <v>740</v>
      </c>
      <c r="V27" s="7"/>
    </row>
    <row r="28">
      <c r="A28" s="33" t="s">
        <v>741</v>
      </c>
      <c r="B28" s="20" t="s">
        <v>127</v>
      </c>
      <c r="C28" s="44"/>
      <c r="E28" s="30">
        <v>0.65</v>
      </c>
      <c r="F28" s="44"/>
      <c r="G28" s="21" t="s">
        <v>746</v>
      </c>
      <c r="H28" s="20" t="s">
        <v>748</v>
      </c>
      <c r="I28" s="20"/>
      <c r="J28" s="20" t="s">
        <v>53</v>
      </c>
      <c r="K28" s="7">
        <v>4.2</v>
      </c>
      <c r="L28" s="7">
        <v>6.0</v>
      </c>
      <c r="M28" s="35">
        <v>475.0</v>
      </c>
      <c r="N28" s="28"/>
      <c r="O28" s="20" t="s">
        <v>68</v>
      </c>
      <c r="P28" s="10" t="s">
        <v>96</v>
      </c>
      <c r="R28" s="20" t="s">
        <v>752</v>
      </c>
    </row>
    <row r="29">
      <c r="A29" s="6" t="s">
        <v>384</v>
      </c>
      <c r="B29" s="10" t="s">
        <v>147</v>
      </c>
      <c r="C29" s="31">
        <v>0.0</v>
      </c>
      <c r="D29" s="10" t="s">
        <v>385</v>
      </c>
      <c r="E29" s="10"/>
      <c r="F29" s="7" t="s">
        <v>386</v>
      </c>
      <c r="G29" s="31">
        <v>0.03</v>
      </c>
      <c r="H29" s="10" t="s">
        <v>26</v>
      </c>
      <c r="I29" s="17" t="s">
        <v>387</v>
      </c>
      <c r="J29" s="10"/>
      <c r="K29" s="12">
        <v>4.4</v>
      </c>
      <c r="L29" s="12">
        <v>11.0</v>
      </c>
      <c r="M29" s="19">
        <v>11174.0</v>
      </c>
      <c r="N29" s="20" t="s">
        <v>31</v>
      </c>
      <c r="O29" s="28"/>
      <c r="P29" s="10" t="s">
        <v>96</v>
      </c>
      <c r="Q29" s="20" t="s">
        <v>755</v>
      </c>
      <c r="R29" s="20" t="s">
        <v>756</v>
      </c>
      <c r="T29" s="10"/>
    </row>
    <row r="30">
      <c r="A30" s="24" t="s">
        <v>121</v>
      </c>
      <c r="B30" s="10" t="s">
        <v>147</v>
      </c>
      <c r="C30" s="31">
        <v>0.0</v>
      </c>
      <c r="D30" s="13">
        <v>0.02</v>
      </c>
      <c r="E30" s="13"/>
      <c r="F30" s="12" t="s">
        <v>126</v>
      </c>
      <c r="G30" s="12" t="s">
        <v>128</v>
      </c>
      <c r="H30" s="10"/>
      <c r="I30" s="10"/>
      <c r="J30" s="10"/>
      <c r="K30" s="58">
        <v>4.8</v>
      </c>
      <c r="L30" s="19">
        <v>4364.0</v>
      </c>
      <c r="M30" s="15">
        <v>7300000.0</v>
      </c>
      <c r="N30" s="20" t="s">
        <v>57</v>
      </c>
      <c r="O30" s="20" t="s">
        <v>59</v>
      </c>
      <c r="P30" s="10" t="s">
        <v>96</v>
      </c>
      <c r="Q30" s="20" t="s">
        <v>757</v>
      </c>
      <c r="R30" s="20" t="s">
        <v>758</v>
      </c>
      <c r="T30" s="7" t="s">
        <v>759</v>
      </c>
    </row>
    <row r="31">
      <c r="A31" s="24" t="s">
        <v>304</v>
      </c>
      <c r="B31" s="10" t="s">
        <v>147</v>
      </c>
      <c r="C31" s="13">
        <v>0.0</v>
      </c>
      <c r="D31" s="40">
        <v>0.025</v>
      </c>
      <c r="E31" s="40"/>
      <c r="F31" s="12" t="s">
        <v>760</v>
      </c>
      <c r="G31" s="62">
        <v>0.01</v>
      </c>
      <c r="H31" s="10" t="s">
        <v>26</v>
      </c>
      <c r="J31" s="10"/>
      <c r="K31" s="58">
        <v>4.7</v>
      </c>
      <c r="L31" s="12">
        <v>911.0</v>
      </c>
      <c r="M31" s="19">
        <v>1590000.0</v>
      </c>
      <c r="N31" s="20" t="s">
        <v>180</v>
      </c>
      <c r="O31" s="20" t="s">
        <v>32</v>
      </c>
      <c r="P31" s="10" t="s">
        <v>96</v>
      </c>
      <c r="Q31" s="20" t="s">
        <v>761</v>
      </c>
      <c r="R31" s="20" t="s">
        <v>313</v>
      </c>
      <c r="T31" s="7" t="s">
        <v>481</v>
      </c>
    </row>
    <row r="32">
      <c r="A32" s="24" t="s">
        <v>281</v>
      </c>
      <c r="B32" s="7" t="s">
        <v>422</v>
      </c>
      <c r="C32" s="9" t="s">
        <v>762</v>
      </c>
      <c r="E32" s="22">
        <v>0.67</v>
      </c>
      <c r="F32" s="9" t="s">
        <v>763</v>
      </c>
      <c r="G32" s="9"/>
      <c r="H32" s="10" t="s">
        <v>26</v>
      </c>
      <c r="I32" s="10"/>
      <c r="J32" s="10"/>
      <c r="K32" s="12">
        <v>4.6</v>
      </c>
      <c r="L32" s="19">
        <v>5461.0</v>
      </c>
      <c r="M32" s="15">
        <v>7500000.0</v>
      </c>
      <c r="N32" s="20" t="s">
        <v>31</v>
      </c>
      <c r="O32" s="20" t="s">
        <v>32</v>
      </c>
      <c r="P32" s="10" t="s">
        <v>96</v>
      </c>
      <c r="Q32" s="20" t="s">
        <v>764</v>
      </c>
      <c r="R32" s="20" t="s">
        <v>296</v>
      </c>
      <c r="T32" s="7" t="s">
        <v>765</v>
      </c>
    </row>
    <row r="33">
      <c r="A33" s="24" t="s">
        <v>411</v>
      </c>
      <c r="B33" s="7" t="s">
        <v>162</v>
      </c>
      <c r="C33" s="9" t="s">
        <v>766</v>
      </c>
      <c r="E33" s="9"/>
      <c r="F33" s="9" t="s">
        <v>767</v>
      </c>
      <c r="G33" s="9"/>
      <c r="H33" s="10" t="s">
        <v>62</v>
      </c>
      <c r="I33" s="10"/>
      <c r="J33" s="10"/>
      <c r="K33" s="12">
        <v>4.6</v>
      </c>
      <c r="L33" s="19">
        <v>2031.0</v>
      </c>
      <c r="M33" s="15">
        <v>1900000.0</v>
      </c>
      <c r="N33" s="20" t="s">
        <v>31</v>
      </c>
      <c r="O33" s="28"/>
      <c r="P33" s="10" t="s">
        <v>349</v>
      </c>
      <c r="Q33" s="20" t="s">
        <v>768</v>
      </c>
      <c r="T33" s="7" t="s">
        <v>769</v>
      </c>
    </row>
    <row r="34">
      <c r="A34" s="24" t="s">
        <v>430</v>
      </c>
      <c r="B34" s="10" t="s">
        <v>147</v>
      </c>
      <c r="C34" s="10" t="s">
        <v>435</v>
      </c>
      <c r="D34" s="13">
        <v>0.05</v>
      </c>
      <c r="E34" s="13"/>
      <c r="F34" s="13"/>
      <c r="G34" s="12" t="s">
        <v>770</v>
      </c>
      <c r="H34" s="10" t="s">
        <v>26</v>
      </c>
      <c r="I34" s="10"/>
      <c r="J34" s="10"/>
      <c r="K34" s="12">
        <v>4.1</v>
      </c>
      <c r="L34" s="19">
        <v>3327.0</v>
      </c>
      <c r="M34" s="15">
        <v>3900000.0</v>
      </c>
      <c r="N34" s="20" t="s">
        <v>180</v>
      </c>
      <c r="O34" s="20" t="s">
        <v>32</v>
      </c>
      <c r="P34" s="10" t="s">
        <v>96</v>
      </c>
      <c r="Q34" s="20" t="s">
        <v>444</v>
      </c>
      <c r="R34" s="20" t="s">
        <v>771</v>
      </c>
      <c r="T34" s="7" t="s">
        <v>772</v>
      </c>
    </row>
    <row r="35">
      <c r="A35" s="6" t="s">
        <v>226</v>
      </c>
      <c r="B35" s="7" t="s">
        <v>454</v>
      </c>
      <c r="C35" s="13">
        <v>0.05</v>
      </c>
      <c r="D35" s="10" t="s">
        <v>229</v>
      </c>
      <c r="E35" s="10"/>
      <c r="F35" s="7" t="s">
        <v>773</v>
      </c>
      <c r="G35" s="31">
        <v>0.0</v>
      </c>
      <c r="H35" s="10" t="s">
        <v>26</v>
      </c>
      <c r="I35" s="10"/>
      <c r="J35" s="10"/>
      <c r="K35" s="58">
        <v>4.6</v>
      </c>
      <c r="L35" s="19">
        <v>3106.0</v>
      </c>
      <c r="M35" s="19">
        <v>864500.0</v>
      </c>
      <c r="N35" s="20" t="s">
        <v>180</v>
      </c>
      <c r="O35" s="20" t="s">
        <v>32</v>
      </c>
      <c r="P35" s="10" t="s">
        <v>96</v>
      </c>
      <c r="Q35" s="20" t="s">
        <v>774</v>
      </c>
      <c r="R35" s="20" t="s">
        <v>238</v>
      </c>
      <c r="T35" s="7" t="s">
        <v>775</v>
      </c>
    </row>
    <row r="36">
      <c r="A36" s="6" t="s">
        <v>632</v>
      </c>
      <c r="B36" s="7" t="s">
        <v>776</v>
      </c>
      <c r="C36" s="11" t="s">
        <v>777</v>
      </c>
      <c r="D36" s="11" t="s">
        <v>778</v>
      </c>
      <c r="E36" s="11"/>
      <c r="F36" s="10"/>
      <c r="G36" s="22">
        <v>0.0</v>
      </c>
      <c r="H36" s="9" t="s">
        <v>779</v>
      </c>
      <c r="I36" s="10" t="s">
        <v>26</v>
      </c>
      <c r="J36" s="10"/>
      <c r="K36" s="10"/>
      <c r="L36" s="25">
        <v>4.7</v>
      </c>
      <c r="M36" s="14">
        <v>1195.0</v>
      </c>
      <c r="N36" s="19">
        <v>314800.0</v>
      </c>
      <c r="O36" s="20" t="s">
        <v>180</v>
      </c>
      <c r="P36" s="20" t="s">
        <v>32</v>
      </c>
      <c r="Q36" s="10" t="s">
        <v>96</v>
      </c>
      <c r="R36" s="20" t="s">
        <v>780</v>
      </c>
      <c r="S36" s="20" t="s">
        <v>781</v>
      </c>
      <c r="W36" s="7"/>
    </row>
    <row r="37">
      <c r="A37" s="24" t="s">
        <v>284</v>
      </c>
      <c r="B37" s="7" t="s">
        <v>489</v>
      </c>
      <c r="C37" s="3" t="s">
        <v>782</v>
      </c>
      <c r="D37" s="3"/>
      <c r="E37" s="22">
        <v>0.72</v>
      </c>
      <c r="F37" s="3"/>
      <c r="G37" s="9" t="s">
        <v>783</v>
      </c>
      <c r="H37" s="10" t="s">
        <v>26</v>
      </c>
      <c r="I37" s="10"/>
      <c r="J37" s="10"/>
      <c r="K37" s="12">
        <v>4.7</v>
      </c>
      <c r="L37" s="19">
        <v>1789.0</v>
      </c>
      <c r="M37" s="19">
        <v>596600.0</v>
      </c>
      <c r="N37" s="20" t="s">
        <v>31</v>
      </c>
      <c r="O37" s="20" t="s">
        <v>59</v>
      </c>
      <c r="P37" s="10" t="s">
        <v>158</v>
      </c>
      <c r="Q37" s="20" t="s">
        <v>784</v>
      </c>
      <c r="R37" s="20" t="s">
        <v>785</v>
      </c>
      <c r="T37" s="7" t="s">
        <v>786</v>
      </c>
    </row>
    <row r="38">
      <c r="A38" s="24" t="s">
        <v>299</v>
      </c>
      <c r="B38" s="10" t="s">
        <v>147</v>
      </c>
      <c r="C38" s="13">
        <v>0.0</v>
      </c>
      <c r="D38" s="40">
        <v>0.025</v>
      </c>
      <c r="E38" s="40"/>
      <c r="F38" s="40"/>
      <c r="G38" s="40"/>
      <c r="H38" s="10" t="s">
        <v>26</v>
      </c>
      <c r="I38" s="10"/>
      <c r="J38" s="10"/>
      <c r="K38" s="12">
        <v>2.2</v>
      </c>
      <c r="L38" s="12">
        <v>74.0</v>
      </c>
      <c r="M38" s="15">
        <v>2700000.0</v>
      </c>
      <c r="N38" s="28"/>
      <c r="O38" s="28"/>
      <c r="P38" s="10" t="s">
        <v>261</v>
      </c>
      <c r="T38" s="7" t="s">
        <v>787</v>
      </c>
    </row>
    <row r="39">
      <c r="A39" s="24" t="s">
        <v>264</v>
      </c>
      <c r="B39" s="7" t="s">
        <v>788</v>
      </c>
      <c r="C39" s="9" t="s">
        <v>789</v>
      </c>
      <c r="E39" s="9"/>
      <c r="F39" s="10"/>
      <c r="G39" s="10"/>
      <c r="H39" s="10" t="s">
        <v>26</v>
      </c>
      <c r="I39" s="10"/>
      <c r="J39" s="10"/>
      <c r="K39" s="58">
        <v>4.4</v>
      </c>
      <c r="L39" s="12">
        <v>323.0</v>
      </c>
      <c r="M39" s="19">
        <v>216000.0</v>
      </c>
      <c r="N39" s="20" t="s">
        <v>30</v>
      </c>
      <c r="O39" s="28"/>
      <c r="P39" s="10" t="s">
        <v>120</v>
      </c>
      <c r="Q39" s="20" t="s">
        <v>276</v>
      </c>
      <c r="T39" s="7" t="s">
        <v>790</v>
      </c>
    </row>
    <row r="40">
      <c r="A40" s="24" t="s">
        <v>247</v>
      </c>
      <c r="B40" s="7" t="s">
        <v>162</v>
      </c>
      <c r="C40" s="9" t="s">
        <v>791</v>
      </c>
      <c r="E40" s="9"/>
      <c r="F40" s="11"/>
      <c r="G40" s="11"/>
      <c r="H40" s="10" t="s">
        <v>26</v>
      </c>
      <c r="I40" s="10"/>
      <c r="J40" s="10"/>
      <c r="K40" s="58">
        <v>4.7</v>
      </c>
      <c r="L40" s="19">
        <v>1350.0</v>
      </c>
      <c r="M40" s="19">
        <v>486900.0</v>
      </c>
      <c r="N40" s="20" t="s">
        <v>57</v>
      </c>
      <c r="O40" s="28"/>
      <c r="P40" s="10" t="s">
        <v>120</v>
      </c>
      <c r="Q40" s="20" t="s">
        <v>255</v>
      </c>
      <c r="T40" s="7" t="s">
        <v>792</v>
      </c>
    </row>
    <row r="41">
      <c r="A41" s="24" t="s">
        <v>160</v>
      </c>
      <c r="B41" s="7" t="s">
        <v>239</v>
      </c>
      <c r="C41" s="3" t="s">
        <v>793</v>
      </c>
      <c r="E41" s="22">
        <v>0.47</v>
      </c>
      <c r="F41" s="3"/>
      <c r="G41" s="9" t="s">
        <v>794</v>
      </c>
      <c r="H41" s="10" t="s">
        <v>26</v>
      </c>
      <c r="I41" s="10"/>
      <c r="J41" s="10"/>
      <c r="K41" s="12">
        <v>4.7</v>
      </c>
      <c r="L41" s="19">
        <v>2092.0</v>
      </c>
      <c r="M41" s="19">
        <v>1300000.0</v>
      </c>
      <c r="N41" s="20" t="s">
        <v>31</v>
      </c>
      <c r="O41" s="20" t="s">
        <v>142</v>
      </c>
      <c r="P41" s="10" t="s">
        <v>96</v>
      </c>
      <c r="Q41" s="20" t="s">
        <v>795</v>
      </c>
      <c r="R41" s="20" t="s">
        <v>796</v>
      </c>
      <c r="T41" s="7" t="s">
        <v>797</v>
      </c>
    </row>
    <row r="42">
      <c r="A42" s="6" t="s">
        <v>392</v>
      </c>
      <c r="B42" s="7" t="s">
        <v>454</v>
      </c>
      <c r="C42" s="10"/>
      <c r="D42" s="10" t="s">
        <v>798</v>
      </c>
      <c r="E42" s="10"/>
      <c r="F42" s="7" t="s">
        <v>799</v>
      </c>
      <c r="G42" s="10"/>
      <c r="H42" s="10"/>
      <c r="I42" s="10"/>
      <c r="J42" s="10"/>
      <c r="K42" s="26">
        <v>4.0</v>
      </c>
      <c r="L42" s="12">
        <v>148.0</v>
      </c>
      <c r="M42" s="19">
        <v>60200.0</v>
      </c>
      <c r="N42" s="20" t="s">
        <v>30</v>
      </c>
      <c r="O42" s="28"/>
      <c r="P42" s="10" t="s">
        <v>96</v>
      </c>
      <c r="Q42" s="20" t="s">
        <v>800</v>
      </c>
      <c r="T42" s="10"/>
    </row>
    <row r="43">
      <c r="A43" s="6" t="s">
        <v>471</v>
      </c>
      <c r="B43" s="7" t="s">
        <v>489</v>
      </c>
      <c r="C43" s="3" t="s">
        <v>715</v>
      </c>
      <c r="D43" s="3"/>
      <c r="E43" s="22">
        <v>0.7</v>
      </c>
      <c r="F43" s="3"/>
      <c r="G43" s="9" t="s">
        <v>801</v>
      </c>
      <c r="H43" s="10" t="s">
        <v>26</v>
      </c>
      <c r="I43" s="10"/>
      <c r="J43" s="10"/>
      <c r="K43" s="26">
        <v>4.1</v>
      </c>
      <c r="L43" s="12">
        <v>83.0</v>
      </c>
      <c r="M43" s="19">
        <v>684100.0</v>
      </c>
      <c r="N43" s="20" t="s">
        <v>142</v>
      </c>
      <c r="O43" s="20" t="s">
        <v>142</v>
      </c>
      <c r="P43" s="10" t="s">
        <v>96</v>
      </c>
      <c r="Q43" s="20" t="s">
        <v>802</v>
      </c>
      <c r="R43" s="20" t="s">
        <v>803</v>
      </c>
      <c r="T43" s="7" t="s">
        <v>142</v>
      </c>
    </row>
    <row r="44">
      <c r="A44" s="34" t="s">
        <v>804</v>
      </c>
      <c r="B44" s="20" t="s">
        <v>127</v>
      </c>
      <c r="C44" s="44"/>
      <c r="E44" s="30">
        <v>0.67</v>
      </c>
      <c r="G44" s="20" t="s">
        <v>805</v>
      </c>
      <c r="H44" s="10" t="s">
        <v>26</v>
      </c>
      <c r="K44" s="10" t="s">
        <v>96</v>
      </c>
      <c r="L44" s="10" t="s">
        <v>96</v>
      </c>
      <c r="M44" s="20">
        <v>0.0</v>
      </c>
      <c r="N44" s="28"/>
      <c r="O44" s="20" t="s">
        <v>142</v>
      </c>
      <c r="P44" s="7" t="s">
        <v>158</v>
      </c>
      <c r="R44" s="20" t="s">
        <v>806</v>
      </c>
    </row>
    <row r="45">
      <c r="A45" s="34" t="s">
        <v>487</v>
      </c>
      <c r="B45" s="20" t="s">
        <v>127</v>
      </c>
      <c r="E45" s="63">
        <v>0.6</v>
      </c>
      <c r="G45" s="20" t="s">
        <v>807</v>
      </c>
      <c r="H45" s="10" t="s">
        <v>26</v>
      </c>
      <c r="I45" s="34" t="s">
        <v>499</v>
      </c>
      <c r="K45" s="20">
        <v>4.9</v>
      </c>
      <c r="L45" s="35">
        <v>9558.0</v>
      </c>
      <c r="M45" s="35">
        <v>15100.0</v>
      </c>
      <c r="N45" s="28"/>
      <c r="O45" s="20" t="s">
        <v>142</v>
      </c>
      <c r="P45" s="10" t="s">
        <v>96</v>
      </c>
      <c r="R45" s="20" t="s">
        <v>808</v>
      </c>
    </row>
    <row r="46">
      <c r="C46" s="5" t="s">
        <v>809</v>
      </c>
      <c r="N46" s="20" t="s">
        <v>327</v>
      </c>
    </row>
    <row r="47">
      <c r="C47" s="20" t="s">
        <v>368</v>
      </c>
    </row>
    <row r="48">
      <c r="C48" s="20" t="s">
        <v>810</v>
      </c>
    </row>
    <row r="49">
      <c r="C49" s="20" t="s">
        <v>811</v>
      </c>
    </row>
    <row r="50">
      <c r="C50" s="34" t="s">
        <v>812</v>
      </c>
    </row>
    <row r="51">
      <c r="A51" s="6" t="s">
        <v>560</v>
      </c>
      <c r="B51" s="7" t="s">
        <v>23</v>
      </c>
      <c r="C51" s="22">
        <v>0.0</v>
      </c>
      <c r="D51" s="11" t="s">
        <v>311</v>
      </c>
      <c r="E51" s="11"/>
      <c r="F51" s="10"/>
      <c r="G51" s="9" t="s">
        <v>662</v>
      </c>
      <c r="H51" s="9" t="s">
        <v>161</v>
      </c>
      <c r="I51" s="10" t="s">
        <v>26</v>
      </c>
      <c r="J51" s="17" t="s">
        <v>664</v>
      </c>
      <c r="K51" s="7" t="s">
        <v>53</v>
      </c>
      <c r="L51" s="25">
        <v>3.9</v>
      </c>
      <c r="M51" s="14">
        <v>2157.0</v>
      </c>
      <c r="N51" s="19">
        <v>352200.0</v>
      </c>
      <c r="O51" s="20" t="s">
        <v>57</v>
      </c>
      <c r="P51" s="20" t="s">
        <v>59</v>
      </c>
      <c r="Q51" s="10" t="s">
        <v>261</v>
      </c>
      <c r="R51" s="20" t="s">
        <v>665</v>
      </c>
      <c r="S51" s="20" t="s">
        <v>666</v>
      </c>
      <c r="W51" s="7"/>
    </row>
    <row r="52">
      <c r="A52" s="24" t="s">
        <v>813</v>
      </c>
      <c r="B52" s="10" t="s">
        <v>162</v>
      </c>
      <c r="C52" s="9" t="s">
        <v>814</v>
      </c>
      <c r="D52" s="10"/>
      <c r="E52" s="10"/>
      <c r="G52" s="10"/>
      <c r="H52" s="10"/>
      <c r="I52" s="10" t="s">
        <v>26</v>
      </c>
      <c r="J52" s="10"/>
      <c r="K52" s="10"/>
      <c r="L52" s="58" t="s">
        <v>96</v>
      </c>
      <c r="M52" s="58" t="s">
        <v>96</v>
      </c>
      <c r="N52" s="15">
        <v>2100.0</v>
      </c>
      <c r="O52" s="10"/>
      <c r="P52" s="10"/>
      <c r="Q52" s="7" t="s">
        <v>96</v>
      </c>
    </row>
    <row r="53">
      <c r="A53" s="6" t="s">
        <v>712</v>
      </c>
      <c r="B53" s="7" t="s">
        <v>43</v>
      </c>
      <c r="C53" s="3"/>
      <c r="D53" s="3"/>
      <c r="E53" s="22"/>
      <c r="F53" s="22">
        <v>0.22</v>
      </c>
      <c r="G53" s="22">
        <v>0.0</v>
      </c>
      <c r="H53" s="3"/>
      <c r="I53" s="10" t="s">
        <v>719</v>
      </c>
      <c r="J53" s="24" t="s">
        <v>720</v>
      </c>
      <c r="K53" s="10" t="s">
        <v>53</v>
      </c>
      <c r="L53" s="25">
        <v>4.4</v>
      </c>
      <c r="M53" s="14">
        <v>48.0</v>
      </c>
      <c r="N53" s="19">
        <v>20700.0</v>
      </c>
      <c r="O53" s="20" t="s">
        <v>180</v>
      </c>
      <c r="P53" s="20" t="s">
        <v>260</v>
      </c>
      <c r="Q53" s="7" t="s">
        <v>69</v>
      </c>
      <c r="R53" s="20" t="s">
        <v>723</v>
      </c>
      <c r="W53" s="7"/>
    </row>
    <row r="54">
      <c r="A54" s="34" t="s">
        <v>815</v>
      </c>
      <c r="B54" s="20" t="s">
        <v>729</v>
      </c>
      <c r="D54" s="42"/>
      <c r="E54" s="42"/>
      <c r="G54" s="21" t="s">
        <v>230</v>
      </c>
      <c r="H54" s="42"/>
      <c r="I54" s="10" t="s">
        <v>26</v>
      </c>
      <c r="N54" s="35">
        <v>228900.0</v>
      </c>
      <c r="O54" s="20" t="s">
        <v>31</v>
      </c>
      <c r="R54" s="20" t="s">
        <v>816</v>
      </c>
    </row>
    <row r="55">
      <c r="A55" s="24" t="s">
        <v>671</v>
      </c>
      <c r="B55" s="10" t="s">
        <v>162</v>
      </c>
      <c r="C55" s="11"/>
      <c r="D55" s="22">
        <v>0.01</v>
      </c>
      <c r="E55" s="31"/>
      <c r="G55" s="31">
        <v>0.0</v>
      </c>
      <c r="H55" s="31">
        <v>0.03</v>
      </c>
      <c r="I55" s="10" t="s">
        <v>26</v>
      </c>
      <c r="J55" s="10"/>
      <c r="K55" s="10"/>
      <c r="L55" s="25">
        <v>2.9</v>
      </c>
      <c r="M55" s="14">
        <v>14.0</v>
      </c>
      <c r="N55" s="15">
        <v>79.0</v>
      </c>
      <c r="O55" s="7" t="s">
        <v>57</v>
      </c>
      <c r="P55" s="10" t="s">
        <v>142</v>
      </c>
      <c r="Q55" s="7" t="s">
        <v>69</v>
      </c>
    </row>
    <row r="56">
      <c r="A56" s="6" t="s">
        <v>525</v>
      </c>
      <c r="B56" s="10" t="s">
        <v>147</v>
      </c>
      <c r="C56" s="11" t="s">
        <v>435</v>
      </c>
      <c r="D56" s="8">
        <v>0.03</v>
      </c>
      <c r="E56" s="8"/>
      <c r="F56" s="13"/>
      <c r="G56" s="8" t="s">
        <v>591</v>
      </c>
      <c r="H56" s="29">
        <v>0.025</v>
      </c>
      <c r="I56" s="7" t="s">
        <v>594</v>
      </c>
      <c r="J56" s="24" t="s">
        <v>595</v>
      </c>
      <c r="K56" s="10"/>
      <c r="L56" s="25">
        <v>3.5</v>
      </c>
      <c r="M56" s="14">
        <v>1559.0</v>
      </c>
      <c r="N56" s="19">
        <v>194900.0</v>
      </c>
      <c r="O56" s="20" t="s">
        <v>57</v>
      </c>
      <c r="P56" s="20" t="s">
        <v>32</v>
      </c>
      <c r="Q56" s="10" t="s">
        <v>96</v>
      </c>
      <c r="R56" s="20" t="s">
        <v>817</v>
      </c>
      <c r="S56" s="20" t="s">
        <v>597</v>
      </c>
      <c r="W56" s="7"/>
    </row>
    <row r="58">
      <c r="A58" s="55" t="s">
        <v>69</v>
      </c>
      <c r="B58" s="7"/>
      <c r="C58" s="40"/>
      <c r="D58" s="13"/>
      <c r="E58" s="13"/>
      <c r="F58" s="13"/>
      <c r="G58" s="13"/>
      <c r="H58" s="10"/>
      <c r="I58" s="24"/>
      <c r="J58" s="10"/>
      <c r="K58" s="12"/>
      <c r="L58" s="12"/>
      <c r="M58" s="19"/>
      <c r="P58" s="10"/>
      <c r="Q58" s="10"/>
    </row>
    <row r="59">
      <c r="A59" s="1" t="s">
        <v>0</v>
      </c>
      <c r="B59" s="1" t="s">
        <v>11</v>
      </c>
      <c r="C59" s="4" t="s">
        <v>12</v>
      </c>
      <c r="D59" s="1"/>
      <c r="E59" s="4"/>
    </row>
    <row r="60">
      <c r="A60" s="6" t="s">
        <v>22</v>
      </c>
      <c r="B60" s="25" t="str">
        <f>IFERROR(__xludf.DUMMYFUNCTION("importxml(""https://www.trustpilot.com/review/tradeit.gg"",""/html/body/div[1]/div/div/main/div/div[2]/div[2]/div[1]/div/div[3]/div[1]/div/div[1]/p[1]"")"),"#REF!")</f>
        <v>#REF!</v>
      </c>
      <c r="C60" s="14" t="str">
        <f>IFERROR(__xludf.DUMMYFUNCTION("importxml(""https://www.trustpilot.com/review/tradeit.gg"",""/html/body/div[1]/div/div/main/div/div[2]/div[2]/div[1]/div/div[1]/section/div[2]/span/span"")"),"#REF!")</f>
        <v>#REF!</v>
      </c>
      <c r="D60" s="9"/>
      <c r="E60" s="9"/>
    </row>
    <row r="61">
      <c r="A61" s="6" t="s">
        <v>80</v>
      </c>
      <c r="B61" s="26" t="str">
        <f>IFERROR(__xludf.DUMMYFUNCTION("importxml(""https://www.trustpilot.com/review/skinflow.gg"",""/html/body/div[1]/div/div/main/div/div[2]/div[2]/div[1]/div[2]/div[3]/div[1]/div/div[1]/p[1]"")"),"Loading...")</f>
        <v>Loading...</v>
      </c>
      <c r="C61" s="14" t="str">
        <f>IFERROR(__xludf.DUMMYFUNCTION("importxml(""https://www.trustpilot.com/review/skinflow.gg"",""/html/body/div[1]/div/div/main/div/div[2]/div[2]/div[1]/div[2]/div[1]/section/div[2]/span/span"")"),"#REF!")</f>
        <v>#REF!</v>
      </c>
      <c r="D61" s="9"/>
      <c r="E61" s="9"/>
      <c r="G61" s="18"/>
    </row>
    <row r="62">
      <c r="A62" s="6" t="s">
        <v>101</v>
      </c>
      <c r="B62" s="25" t="str">
        <f>IFERROR(__xludf.DUMMYFUNCTION("importxml(""https://www.trustpilot.com/review/skinvault.gg"",""/html/body/div[1]/div/div/main/div/div[2]/div[2]/div[1]/div/div[3]/div[1]/div/div[1]/p[1]"")"),"#REF!")</f>
        <v>#REF!</v>
      </c>
      <c r="C62" s="14" t="str">
        <f>IFERROR(__xludf.DUMMYFUNCTION("importxml(""https://www.trustpilot.com/review/skinvault.gg"",""/html/body/div[1]/div/div/main/div/div[2]/div[2]/div[1]/div/div[1]/section/div[2]/span/span"")"),"#REF!")</f>
        <v>#REF!</v>
      </c>
      <c r="D62" s="9"/>
      <c r="E62" s="9"/>
    </row>
    <row r="63">
      <c r="A63" s="6" t="s">
        <v>19</v>
      </c>
      <c r="B63" s="12" t="str">
        <f>IFERROR(__xludf.DUMMYFUNCTION("importxml(""https://www.trustpilot.com/review/skinport.com"",""/html/body/div[1]/div/div/main/div/div[2]/div[2]/div[1]/div/div[3]/div[1]/div/div[1]/p[1]"")"),"#REF!")</f>
        <v>#REF!</v>
      </c>
      <c r="C63" s="14" t="str">
        <f>IFERROR(__xludf.DUMMYFUNCTION("importxml(""https://www.trustpilot.com/review/skinport.com"",""/html/body/div[1]/div/div/main/div/div[2]/div[2]/div[1]/div/div[1]/section/div[2]/span/span"")"),"#REF!")</f>
        <v>#REF!</v>
      </c>
      <c r="D63" s="9"/>
      <c r="E63" s="9"/>
    </row>
    <row r="64">
      <c r="A64" s="6" t="s">
        <v>121</v>
      </c>
      <c r="B64" s="18" t="str">
        <f>IFERROR(__xludf.DUMMYFUNCTION("importxml(""https://www.trustpilot.com/review/csgofloat.com"",""/html/body/div[1]/div/div/main/div/div[2]/div[2]/div[1]/div/div[3]/div[1]/div/div[1]/p[1]"")"),"#REF!")</f>
        <v>#REF!</v>
      </c>
      <c r="C64" s="14" t="str">
        <f>IFERROR(__xludf.DUMMYFUNCTION("importxml(""https://www.trustpilot.com/review/csgofloat.com"",""/html/body/div[1]/div/div/main/div/div[2]/div[2]/div[1]/div/div[1]/section/div[2]/span/span"")"),"#REF!")</f>
        <v>#REF!</v>
      </c>
      <c r="D64" s="9"/>
      <c r="E64" s="9"/>
    </row>
    <row r="65">
      <c r="A65" s="6" t="s">
        <v>55</v>
      </c>
      <c r="B65" s="25" t="str">
        <f>IFERROR(__xludf.DUMMYFUNCTION("importxml(""https://www.trustpilot.com/review/dmarket.com"",""/html/body/div[1]/div/div/main/div/div[2]/div[2]/div[1]/div/div[3]/div[1]/div/div[1]/p[1]"")"),"#REF!")</f>
        <v>#REF!</v>
      </c>
      <c r="C65" s="14" t="str">
        <f>IFERROR(__xludf.DUMMYFUNCTION("importxml(""https://www.trustpilot.com/review/dmarket.com"",""/html/body/div[1]/div/div/main/div/div[2]/div[2]/div[1]/div/div[1]/section/div[2]/span/span"")"),"#REF!")</f>
        <v>#REF!</v>
      </c>
      <c r="D65" s="9"/>
      <c r="E65" s="9"/>
      <c r="F65" s="9"/>
      <c r="G65" s="9"/>
      <c r="H65" s="10"/>
      <c r="I65" s="10"/>
      <c r="J65" s="10"/>
      <c r="K65" s="58"/>
      <c r="L65" s="12"/>
      <c r="M65" s="19"/>
      <c r="P65" s="10"/>
      <c r="Q65" s="7"/>
    </row>
    <row r="66">
      <c r="A66" s="6" t="s">
        <v>36</v>
      </c>
      <c r="B66" s="25" t="str">
        <f>IFERROR(__xludf.DUMMYFUNCTION("importxml(""https://www.trustpilot.com/review/lis-skins.com"",""/html/body/div[1]/div/div/main/div/div[2]/div[2]/div[1]/div[2]/div[3]/div[1]/div/div[1]/p[1]"")"),"#REF!")</f>
        <v>#REF!</v>
      </c>
      <c r="C66" s="14" t="str">
        <f>IFERROR(__xludf.DUMMYFUNCTION("importxml(""https://www.trustpilot.com/review/lis-skins.com"",""/html/body/div[1]/div/div/main/div/div[2]/div[2]/div[1]/div[2]/div[1]/section/div[2]/span/span"")"),"#REF!")</f>
        <v>#REF!</v>
      </c>
      <c r="D66" s="9"/>
      <c r="E66" s="9"/>
    </row>
    <row r="67">
      <c r="A67" s="6" t="s">
        <v>160</v>
      </c>
      <c r="B67" s="25" t="str">
        <f>IFERROR(__xludf.DUMMYFUNCTION("importxml(""https://www.trustpilot.com/review/pirateswap.com"",""/html/body/div[1]/div/div/main/div/div[2]/div[2]/div[1]/div/div[3]/div[1]/div/div[1]/p[1]"")"),"#REF!")</f>
        <v>#REF!</v>
      </c>
      <c r="C67" s="14" t="str">
        <f>IFERROR(__xludf.DUMMYFUNCTION("importxml(""https://www.trustpilot.com/review/pirateswap.com"",""/html/body/div[1]/div/div/main/div/div[2]/div[2]/div[1]/div/div[1]/section/div[2]/span/span"")"),"#REF!")</f>
        <v>#REF!</v>
      </c>
      <c r="D67" s="9"/>
      <c r="E67" s="9"/>
    </row>
    <row r="68">
      <c r="A68" s="6" t="s">
        <v>20</v>
      </c>
      <c r="B68" s="25" t="str">
        <f>IFERROR(__xludf.DUMMYFUNCTION("importxml(""https://www.trustpilot.com/review/skinswap.com"",""/html/body/div[1]/div/div/main/div/div[2]/div[2]/div[1]/div[2]/div[3]/div[1]/div/div[1]/p[1]"")"),"#REF!")</f>
        <v>#REF!</v>
      </c>
      <c r="C68" s="14" t="str">
        <f>IFERROR(__xludf.DUMMYFUNCTION("importxml(""https://www.trustpilot.com/review/skinswap.com"",""/html/body/div[1]/div/div/main/div/div[2]/div[2]/div[1]/div[2]/div[1]/section/div[2]/span/span"")"),"Loading...")</f>
        <v>Loading...</v>
      </c>
      <c r="D68" s="9"/>
      <c r="E68" s="9"/>
    </row>
    <row r="69">
      <c r="A69" s="6" t="s">
        <v>65</v>
      </c>
      <c r="B69" s="18" t="str">
        <f>IFERROR(__xludf.DUMMYFUNCTION("importxml(""https://www.trustpilot.com/review/avan.market"",""/html/body/div[1]/div/div/main/div/div[2]/div[2]/div[1]/div/div[3]/div[1]/div/div[1]/p[1]"")"),"#REF!")</f>
        <v>#REF!</v>
      </c>
      <c r="C69" s="14" t="str">
        <f>IFERROR(__xludf.DUMMYFUNCTION("importxml(""https://www.trustpilot.com/review/avan.market"",""/html/body/div[1]/div/div/main/div/div[2]/div[2]/div[1]/div[2]/div[1]/section/div[2]/span/span"")"),"#REF!")</f>
        <v>#REF!</v>
      </c>
      <c r="D69" s="9"/>
      <c r="E69" s="9"/>
    </row>
    <row r="70">
      <c r="A70" s="6" t="s">
        <v>21</v>
      </c>
      <c r="B70" s="18" t="str">
        <f>IFERROR(__xludf.DUMMYFUNCTION("importxml(""https://www.trustpilot.com/review/mannco.store"",""/html/body/div[1]/div/div/main/div/div[2]/div[2]/div[1]/div/div[3]/div[1]/div/div[1]/p[1]"")"),"Loading...")</f>
        <v>Loading...</v>
      </c>
      <c r="C70" s="14" t="str">
        <f>IFERROR(__xludf.DUMMYFUNCTION("importxml(""https://www.trustpilot.com/review/mannco.store"",""/html/body/div[1]/div/div/main/div/div[2]/div[2]/div[1]/div/div[1]/section/div[2]/span/span"")"),"#REF!")</f>
        <v>#REF!</v>
      </c>
      <c r="D70" s="9"/>
      <c r="E70" s="9"/>
    </row>
    <row r="71">
      <c r="A71" s="6" t="s">
        <v>155</v>
      </c>
      <c r="B71" s="18" t="str">
        <f>IFERROR(__xludf.DUMMYFUNCTION("importxml(""https://www.trustpilot.com/review/itrade.gg"",""/html/body/div[1]/div/div/main/div/div[2]/div[2]/div[1]/div/div[3]/div[1]/div/div[1]/p[1]"")"),"#REF!")</f>
        <v>#REF!</v>
      </c>
      <c r="C71" s="14" t="str">
        <f>IFERROR(__xludf.DUMMYFUNCTION("importxml(""https://www.trustpilot.com/review/itrade.gg"",""/html/body/div[1]/div/div/main/div/div[2]/div[2]/div[1]/div/div[1]/section/div[2]/span/span"")"),"#REF!")</f>
        <v>#REF!</v>
      </c>
      <c r="D71" s="9"/>
      <c r="E71" s="9"/>
    </row>
    <row r="72">
      <c r="A72" s="6" t="s">
        <v>226</v>
      </c>
      <c r="B72" s="25" t="str">
        <f>IFERROR(__xludf.DUMMYFUNCTION("importxml(""https://www.trustpilot.com/review/skinbaron.de"",""/html/body/div[1]/div/div/main/div/div[2]/div[2]/div[1]/div[2]/div[3]/div[1]/div/div[1]/p[1]"")"),"#REF!")</f>
        <v>#REF!</v>
      </c>
      <c r="C72" s="14" t="str">
        <f>IFERROR(__xludf.DUMMYFUNCTION("importxml(""https://www.trustpilot.com/review/skinbaron.de"",""/html/body/div[1]/div/div/main/div/div[2]/div[2]/div[1]/div[2]/div[1]/section/div[2]/span/span"")"),"#REF!")</f>
        <v>#REF!</v>
      </c>
      <c r="D72" s="9"/>
      <c r="E72" s="9"/>
    </row>
    <row r="73">
      <c r="A73" s="6" t="s">
        <v>118</v>
      </c>
      <c r="B73" s="26">
        <v>4.2</v>
      </c>
      <c r="C73" s="12">
        <v>932.0</v>
      </c>
      <c r="E73" s="9"/>
    </row>
    <row r="74">
      <c r="A74" s="6" t="s">
        <v>149</v>
      </c>
      <c r="B74" s="25" t="str">
        <f>IFERROR(__xludf.DUMMYFUNCTION("importxml(""https://www.trustpilot.com/review/skin.place"",""/html/body/div[1]/div/div/main/div/div[2]/div[2]/div[1]/div[2]/div[3]/div[1]/div/div[1]/p[1]"")"),"#REF!")</f>
        <v>#REF!</v>
      </c>
      <c r="C74" s="14" t="str">
        <f>IFERROR(__xludf.DUMMYFUNCTION("importxml(""https://www.trustpilot.com/review/skin.place"",""/html/body/div[1]/div/div/main/div/div[2]/div[2]/div[1]/div[2]/div[1]/section/div[2]/span/span"")"),"#REF!")</f>
        <v>#REF!</v>
      </c>
      <c r="D74" s="9"/>
      <c r="E74" s="9"/>
    </row>
    <row r="75">
      <c r="A75" s="6" t="s">
        <v>124</v>
      </c>
      <c r="B75" s="25" t="str">
        <f>IFERROR(__xludf.DUMMYFUNCTION("importxml(""https://www.trustpilot.com/review/sellyourskins.com"",""/html/body/div[1]/div/div/main/div/div[2]/div[2]/div[1]/div/div[3]/div[1]/div/div[1]/p[1]"")"),"#REF!")</f>
        <v>#REF!</v>
      </c>
      <c r="C75" s="18" t="str">
        <f>IFERROR(__xludf.DUMMYFUNCTION("importxml(""https://www.trustpilot.com/review/sellyourskins.com"",""/html/body/div[1]/div/div/main/div/div[2]/div[2]/div[1]/div/div[1]/section/div[2]/span/span"")"),"Loading...")</f>
        <v>Loading...</v>
      </c>
      <c r="D75" s="9"/>
      <c r="E75" s="9"/>
    </row>
    <row r="76">
      <c r="A76" s="6" t="s">
        <v>193</v>
      </c>
      <c r="B76" s="25" t="str">
        <f>IFERROR(__xludf.DUMMYFUNCTION("importxml(""https://www.trustpilot.com/review/rustskins.com"",""/html/body/div[1]/div/div/main/div/div[2]/div[2]/div[1]/div/div[3]/div[1]/div/div[1]/p[1]"")"),"#REF!")</f>
        <v>#REF!</v>
      </c>
      <c r="C76" s="14" t="str">
        <f>IFERROR(__xludf.DUMMYFUNCTION("importxml(""https://www.trustpilot.com/review/rustskins.com"",""/html/body/div[1]/div/div/main/div/div[2]/div[2]/div[1]/div/div[1]/section/div[2]/span/span"")"),"#REF!")</f>
        <v>#REF!</v>
      </c>
      <c r="D76" s="9"/>
      <c r="E76" s="9"/>
    </row>
    <row r="77">
      <c r="A77" s="24" t="s">
        <v>281</v>
      </c>
      <c r="B77" s="25" t="str">
        <f>IFERROR(__xludf.DUMMYFUNCTION("importxml(""https://www.trustpilot.com/review/cs.money"",""/html/body/div[1]/div/div/main/div/div[2]/div[2]/div[1]/div[2]/div[3]/div[1]/div/div[1]/p[1]"")"),"#REF!")</f>
        <v>#REF!</v>
      </c>
      <c r="C77" s="14" t="str">
        <f>IFERROR(__xludf.DUMMYFUNCTION("importxml(""https://www.trustpilot.com/review/cs.money"",""/html/body/div[1]/div/div/main/div/div[2]/div[2]/div[1]/div[2]/div[1]/section/div[2]/span/span"")"),"#REF!")</f>
        <v>#REF!</v>
      </c>
      <c r="D77" s="9"/>
      <c r="E77" s="9"/>
    </row>
    <row r="78">
      <c r="A78" s="6" t="s">
        <v>174</v>
      </c>
      <c r="B78" s="25" t="str">
        <f>IFERROR(__xludf.DUMMYFUNCTION("importxml(""https://www.trustpilot.com/review/skincashier.com"",""/html/body/div[1]/div/div/main/div/div[2]/div[2]/div[1]/div/div[3]/div[1]/div/div[1]/p[1]"")"),"#REF!")</f>
        <v>#REF!</v>
      </c>
      <c r="C78" s="14" t="str">
        <f>IFERROR(__xludf.DUMMYFUNCTION("importxml(""https://www.trustpilot.com/review/skincashier.com"",""/html/body/div[1]/div/div/main/div/div[2]/div[2]/div[1]/div/div[1]/section/div[2]/span/span"")"),"#REF!")</f>
        <v>#REF!</v>
      </c>
      <c r="D78" s="9"/>
      <c r="E78" s="9"/>
    </row>
    <row r="79">
      <c r="A79" s="24" t="s">
        <v>304</v>
      </c>
      <c r="B79" s="25" t="str">
        <f>IFERROR(__xludf.DUMMYFUNCTION("importxml(""https://www.trustpilot.com/review/buff.market"",""/html/body/div[1]/div/div/main/div/div[2]/div[2]/div[1]/div/div[3]/div[1]/div/div[1]/p[1]"")"),"#REF!")</f>
        <v>#REF!</v>
      </c>
      <c r="C79" s="14" t="str">
        <f>IFERROR(__xludf.DUMMYFUNCTION("importxml(""https://www.trustpilot.com/review/buff.market"",""/html/body/div[1]/div/div/main/div/div[2]/div[2]/div[1]/div/div[1]/section/div[2]/span/span"")"),"#REF!")</f>
        <v>#REF!</v>
      </c>
      <c r="D79" s="9"/>
      <c r="E79" s="9"/>
    </row>
    <row r="80">
      <c r="A80" s="24" t="s">
        <v>264</v>
      </c>
      <c r="B80" s="25" t="str">
        <f>IFERROR(__xludf.DUMMYFUNCTION("importxml(""https://www.trustpilot.com/review/cs.trade"",""/html/body/div[1]/div/div/main/div/div[2]/div[2]/div[1]/div/div[3]/div[1]/div/div[1]/p[1]"")"),"#REF!")</f>
        <v>#REF!</v>
      </c>
      <c r="C80" s="14" t="str">
        <f>IFERROR(__xludf.DUMMYFUNCTION("importxml(""https://www.trustpilot.com/review/cs.trade"",""/html/body/div[1]/div/div/main/div/div[2]/div[2]/div[1]/div/div[1]/section/div[2]/span/span"")"),"#REF!")</f>
        <v>#REF!</v>
      </c>
      <c r="D80" s="9"/>
      <c r="E80" s="9"/>
    </row>
    <row r="81">
      <c r="A81" s="6" t="s">
        <v>319</v>
      </c>
      <c r="B81" s="25" t="str">
        <f>IFERROR(__xludf.DUMMYFUNCTION("importxml(""https://www.trustpilot.com/review/white.market"",""/html/body/div[1]/div/div/main/div/div[2]/div[2]/div[1]/div[2]/div[3]/div[1]/div/div[1]/p[1]"")"),"#REF!")</f>
        <v>#REF!</v>
      </c>
      <c r="C81" s="14" t="str">
        <f>IFERROR(__xludf.DUMMYFUNCTION("importxml(""https://www.trustpilot.com/review/white.market"",""/html/body/div[1]/div/div/main/div/div[2]/div[2]/div[1]/div[2]/div[1]/section/div[2]/span/span"")"),"#REF!")</f>
        <v>#REF!</v>
      </c>
      <c r="D81" s="9"/>
      <c r="E81" s="9"/>
    </row>
    <row r="82">
      <c r="A82" s="6" t="s">
        <v>231</v>
      </c>
      <c r="B82" s="25" t="str">
        <f>IFERROR(__xludf.DUMMYFUNCTION("importxml(""https://www.trustpilot.com/review/shadowpay.com"",""/html/body/div[1]/div/div/main/div/div[2]/div[2]/div[1]/div/div[3]/div[1]/div/div[1]/p[1]"")"),"#REF!")</f>
        <v>#REF!</v>
      </c>
      <c r="C82" s="18" t="str">
        <f>IFERROR(__xludf.DUMMYFUNCTION("importxml(""https://www.trustpilot.com/review/shadowpay.com"",""/html/body/div[1]/div/div/main/div/div[2]/div[2]/div[1]/div/div[1]/section/div[2]/span/span"")"),"#REF!")</f>
        <v>#REF!</v>
      </c>
      <c r="D82" s="9"/>
      <c r="E82" s="9"/>
    </row>
    <row r="83">
      <c r="A83" s="6" t="s">
        <v>259</v>
      </c>
      <c r="B83" s="18" t="str">
        <f>IFERROR(__xludf.DUMMYFUNCTION("importxml(""https://www.trustpilot.com/review/rapidskins.com"",""/html/body/div[1]/div/div/main/div/div[2]/div[2]/div[1]/div/div[3]/div[1]/div/div[1]/p[1]"")"),"#REF!")</f>
        <v>#REF!</v>
      </c>
      <c r="C83" s="14" t="str">
        <f>IFERROR(__xludf.DUMMYFUNCTION("importxml(""https://www.trustpilot.com/review/rapidskins.com"",""/html/body/div[1]/div/div/main/div/div[2]/div[2]/div[1]/div/div[1]/section/div[2]/span/span"")"),"#REF!")</f>
        <v>#REF!</v>
      </c>
      <c r="D83" s="9"/>
      <c r="E83" s="9"/>
    </row>
    <row r="84">
      <c r="A84" s="6" t="s">
        <v>236</v>
      </c>
      <c r="B84" s="18" t="str">
        <f>IFERROR(__xludf.DUMMYFUNCTION("importxml(""https://www.trustpilot.com/review/swap.gg"",""/html/body/div[1]/div/div/main/div/div[2]/div[2]/div[1]/div/div[3]/div[1]/div/div[1]/p[1]"")"),"#REF!")</f>
        <v>#REF!</v>
      </c>
      <c r="C84" s="14" t="str">
        <f>IFERROR(__xludf.DUMMYFUNCTION("importxml(""https://www.trustpilot.com/review/swap.gg"",""/html/body/div[1]/div/div/main/div/div[2]/div[2]/div[1]/div[2]/div[1]/section/div[2]/span/span"")"),"#REF!")</f>
        <v>#REF!</v>
      </c>
      <c r="D84" s="9"/>
      <c r="E84" s="9"/>
    </row>
    <row r="85">
      <c r="A85" s="33" t="s">
        <v>352</v>
      </c>
      <c r="B85" s="25" t="str">
        <f>IFERROR(__xludf.DUMMYFUNCTION("importxml(""https://www.trustpilot.com/review/skinomat.com"",""/html/body/div[1]/div/div/main/div/div[2]/div[2]/div[1]/div/div[3]/div[1]/div/div[1]/p[1]"")"),"#REF!")</f>
        <v>#REF!</v>
      </c>
      <c r="C85" s="14" t="str">
        <f>IFERROR(__xludf.DUMMYFUNCTION("importxml(""https://www.trustpilot.com/review/skinomat.com"",""/html/body/div[1]/div/div/main/div/div[2]/div[2]/div[1]/div/div[1]/section/div[2]/span/span"")"),"#REF!")</f>
        <v>#REF!</v>
      </c>
      <c r="D85" s="9"/>
      <c r="E85" s="9"/>
    </row>
    <row r="86">
      <c r="A86" s="6" t="s">
        <v>157</v>
      </c>
      <c r="B86" s="25" t="str">
        <f>IFERROR(__xludf.DUMMYFUNCTION("importxml(""https://www.trustpilot.com/review/skins.cash"",""/html/body/div[1]/div/div/main/div/div[2]/div[2]/div[1]/div/div[3]/div[1]/div/div[1]/p[1]"")"),"#REF!")</f>
        <v>#REF!</v>
      </c>
      <c r="C86" s="14" t="str">
        <f>IFERROR(__xludf.DUMMYFUNCTION("importxml(""https://www.trustpilot.com/review/skins.cash"",""/html/body/div[1]/div/div/main/div/div[2]/div[2]/div[1]/div/div[1]/section/div[2]/span/span"")"),"#REF!")</f>
        <v>#REF!</v>
      </c>
      <c r="D86" s="9"/>
      <c r="E86" s="9"/>
    </row>
    <row r="87">
      <c r="A87" s="6" t="s">
        <v>110</v>
      </c>
      <c r="B87" s="25" t="str">
        <f>IFERROR(__xludf.DUMMYFUNCTION("importxml(""https://www.trustpilot.com/review/cs.deals"",""/html/body/div[1]/div/div/main/div/div[2]/div[2]/div[1]/div/div[3]/div[1]/div/div[1]/p[1]"")"),"#REF!")</f>
        <v>#REF!</v>
      </c>
      <c r="C87" s="18" t="str">
        <f>IFERROR(__xludf.DUMMYFUNCTION("importxml(""https://www.trustpilot.com/review/cs.deals"",""/html/body/div[1]/div/div/main/div/div[2]/div[2]/div[1]/div/div[1]/section/div[2]/span/span"")"),"#REF!")</f>
        <v>#REF!</v>
      </c>
      <c r="D87" s="9"/>
      <c r="E87" s="9"/>
    </row>
    <row r="88">
      <c r="A88" s="6" t="s">
        <v>143</v>
      </c>
      <c r="B88" s="25" t="str">
        <f>IFERROR(__xludf.DUMMYFUNCTION("importxml(""https://www.trustpilot.com/review/waxpeer.com"",""/html/body/div[1]/div/div/main/div/div[2]/div[2]/div[1]/div/div[3]/div[1]/div/div[1]/p[1]"")"),"Loading...")</f>
        <v>Loading...</v>
      </c>
      <c r="C88" s="18" t="str">
        <f>IFERROR(__xludf.DUMMYFUNCTION("importxml(""https://www.trustpilot.com/review/waxpeer.com"",""/html/body/div[1]/div/div/main/div/div[2]/div[2]/div[1]/div/div[1]/section/div[2]/span/span"")"),"#REF!")</f>
        <v>#REF!</v>
      </c>
      <c r="D88" s="9"/>
      <c r="E88" s="9"/>
    </row>
    <row r="89">
      <c r="A89" s="34" t="s">
        <v>363</v>
      </c>
      <c r="B89" s="28" t="str">
        <f>IFERROR(__xludf.DUMMYFUNCTION("importxml(""https://www.trustpilot.com/review/skinsauna.gg"",""/html/body/div[1]/div/div/main/div/div[2]/div[2]/div[1]/div/div[3]/div[1]/div/div[1]/p[1]"")"),"#REF!")</f>
        <v>#REF!</v>
      </c>
      <c r="C89" s="28" t="str">
        <f>IFERROR(__xludf.DUMMYFUNCTION("importxml(""https://www.trustpilot.com/review/skinsauna.gg"",""/html/body/div[1]/div/div/main/div/div[2]/div[2]/div[1]/div[2]/div[1]/section/div[2]/span/span"")"),"#REF!")</f>
        <v>#REF!</v>
      </c>
    </row>
    <row r="90">
      <c r="A90" s="64" t="s">
        <v>367</v>
      </c>
      <c r="B90" s="25" t="str">
        <f>IFERROR(__xludf.DUMMYFUNCTION("importxml(""https://www.trustpilot.com/review/exeskins.com"",""/html/body/div[1]/div/div/main/div/div[2]/div[2]/div[1]/div/div[3]/div[1]/div/div[1]/p[1]"")"),"#REF!")</f>
        <v>#REF!</v>
      </c>
      <c r="C90" s="14" t="str">
        <f>IFERROR(__xludf.DUMMYFUNCTION("importxml(""https://www.trustpilot.com/review/exeskins.com"",""/html/body/div[1]/div/div/main/div/div[2]/div[2]/div[1]/div/div[1]/section/div[2]/span/span"")"),"#REF!")</f>
        <v>#REF!</v>
      </c>
      <c r="D90" s="9"/>
      <c r="E90" s="9"/>
    </row>
    <row r="91">
      <c r="A91" s="6" t="s">
        <v>375</v>
      </c>
      <c r="B91" s="25" t="str">
        <f>IFERROR(__xludf.DUMMYFUNCTION("importxml(""https://www.trustpilot.com/review/skinsprotocol.com"",""/html/body/div[1]/div/div/main/div/div/div[2]/div[1]/div/div[3]/div[2]/div/div[1]/p[1]"")"),"#REF!")</f>
        <v>#REF!</v>
      </c>
      <c r="C91" s="14" t="str">
        <f>IFERROR(__xludf.DUMMYFUNCTION("importxml(""https://www.trustpilot.com/review/skinsprotocol.com"",""/html/body/div[1]/div/div/main/div/div[2]/div[2]/div[1]/div/div[1]/section/div[2]/span/span"")"),"#REF!")</f>
        <v>#REF!</v>
      </c>
    </row>
    <row r="92">
      <c r="A92" s="34" t="s">
        <v>379</v>
      </c>
      <c r="B92" s="28" t="str">
        <f>IFERROR(__xludf.DUMMYFUNCTION("importxml(""https://www.trustpilot.com/review/dupe.fi"",""/html/body/div[1]/div/div/main/div/div[2]/div[2]/div[1]/div/div[3]/div[1]/div/div[1]/p[1]"")"),"#REF!")</f>
        <v>#REF!</v>
      </c>
      <c r="C92" s="28" t="str">
        <f>IFERROR(__xludf.DUMMYFUNCTION("importxml(""https://www.trustpilot.com/review/dupe.fi"",""/html/body/div[1]/div/div/main/div/div[2]/div[2]/div[1]/div/div[1]/section/div[2]/span/span"")"),"#REF!")</f>
        <v>#REF!</v>
      </c>
      <c r="D92" s="9"/>
      <c r="E92" s="9"/>
    </row>
    <row r="93">
      <c r="A93" s="6" t="s">
        <v>384</v>
      </c>
      <c r="B93" s="25" t="str">
        <f>IFERROR(__xludf.DUMMYFUNCTION("importxml(""https://www.trustpilot.com/review/skinthunder.com"",""/html/body/div[1]/div/div/main/div/div[2]/div[2]/div[1]/div/div[3]/div[1]/div/div[1]/p[1]"")"),"#REF!")</f>
        <v>#REF!</v>
      </c>
      <c r="C93" s="14" t="str">
        <f>IFERROR(__xludf.DUMMYFUNCTION("importxml(""https://www.trustpilot.com/review/skinthunder.com"",""/html/body/div[1]/div/div/main/div/div[2]/div[2]/div[1]/div/div[1]/section/div[2]/span/span"")"),"#REF!")</f>
        <v>#REF!</v>
      </c>
      <c r="D93" s="9"/>
      <c r="E93" s="9"/>
    </row>
    <row r="94">
      <c r="A94" s="6" t="s">
        <v>392</v>
      </c>
      <c r="B94" s="25" t="str">
        <f>IFERROR(__xludf.DUMMYFUNCTION("importxml(""https://www.trustpilot.com/review/haloskins.com"",""/html/body/div[1]/div/div/main/div/div[2]/div[2]/div[1]/div/div[3]/div[1]/div/div[1]/p[1]"")"),"#REF!")</f>
        <v>#REF!</v>
      </c>
      <c r="C94" s="14" t="str">
        <f>IFERROR(__xludf.DUMMYFUNCTION("importxml(""https://www.trustpilot.com/review/haloskins.com"",""/html/body/div[1]/div/div/main/div/div[2]/div[2]/div[1]/div/div[1]/section/div[2]/span/span"")"),"#REF!")</f>
        <v>#REF!</v>
      </c>
      <c r="D94" s="9"/>
      <c r="E94" s="9"/>
    </row>
    <row r="95">
      <c r="A95" s="24" t="s">
        <v>411</v>
      </c>
      <c r="B95" s="26">
        <v>4.5</v>
      </c>
      <c r="C95" s="19">
        <v>2435.0</v>
      </c>
      <c r="D95" s="9"/>
      <c r="E95" s="9"/>
    </row>
    <row r="96">
      <c r="A96" s="24" t="s">
        <v>430</v>
      </c>
      <c r="B96" s="26">
        <v>4.4</v>
      </c>
      <c r="C96" s="14" t="str">
        <f>IFERROR(__xludf.DUMMYFUNCTION("importxml(""https://www.trustpilot.com/review/market.csgo.com"",""/html/body/div[1]/div/div/main/div/div[2]/div[2]/div[1]/div/div[2]/div[2]/div[3]/button/span/text()[2]"")"),"#REF!")</f>
        <v>#REF!</v>
      </c>
      <c r="D96" s="9"/>
      <c r="E96" s="9"/>
    </row>
    <row r="97">
      <c r="A97" s="24" t="s">
        <v>284</v>
      </c>
      <c r="B97" s="25" t="str">
        <f>IFERROR(__xludf.DUMMYFUNCTION("importxml(""https://www.trustpilot.com/review/skin.land"",""/html/body/div[1]/div/div/main/div/div[2]/div[2]/div[1]/div[2]/div[3]/div[1]/div/div[1]/p[1]"")"),"#REF!")</f>
        <v>#REF!</v>
      </c>
      <c r="C97" s="14" t="str">
        <f>IFERROR(__xludf.DUMMYFUNCTION("importxml(""https://www.trustpilot.com/review/skin.land"",""/html/body/div[1]/div/div/main/div/div[2]/div[2]/div[1]/div[2]/div[1]/section/div[2]/span/span"")"),"#REF!")</f>
        <v>#REF!</v>
      </c>
      <c r="D97" s="9"/>
      <c r="E97" s="9"/>
    </row>
    <row r="98">
      <c r="A98" s="24" t="s">
        <v>299</v>
      </c>
      <c r="B98" s="25" t="str">
        <f>IFERROR(__xludf.DUMMYFUNCTION("importxml(""https://www.trustpilot.com/review/buff.163.com"",""/html/body/div[1]/div/div/main/div/div[2]/div[2]/div[1]/div/div[3]/div[1]/div/div[1]/p[1]"")"),"#REF!")</f>
        <v>#REF!</v>
      </c>
      <c r="C98" s="18" t="str">
        <f>IFERROR(__xludf.DUMMYFUNCTION("importxml(""https://www.trustpilot.com/review/buff.163.com"",""/html/body/div[1]/div/div/main/div/div[2]/div[2]/div[1]/div/div[1]/section/div[2]/span/span"")"),"#REF!")</f>
        <v>#REF!</v>
      </c>
      <c r="D98" s="9"/>
      <c r="E98" s="9"/>
    </row>
    <row r="99">
      <c r="A99" s="24" t="s">
        <v>247</v>
      </c>
      <c r="B99" s="25" t="str">
        <f>IFERROR(__xludf.DUMMYFUNCTION("importxml(""https://www.trustpilot.com/review/loot.farm"",""/html/body/div[1]/div/div/main/div/div[2]/div[2]/div[1]/div/div[3]/div[1]/div/div[1]/p[1]"")"),"#REF!")</f>
        <v>#REF!</v>
      </c>
      <c r="C99" s="14" t="str">
        <f>IFERROR(__xludf.DUMMYFUNCTION("importxml(""https://www.trustpilot.com/review/loot.farm"",""/html/body/div[1]/div/div/main/div/div[2]/div[2]/div[1]/div/div[1]/section/div[2]/span/span"")"),"#REF!")</f>
        <v>#REF!</v>
      </c>
      <c r="D99" s="9"/>
      <c r="E99" s="9"/>
    </row>
    <row r="100">
      <c r="A100" s="6" t="s">
        <v>471</v>
      </c>
      <c r="B100" s="25" t="str">
        <f>IFERROR(__xludf.DUMMYFUNCTION("importxml(""https://www.trustpilot.com/review/skinout.gg"",""/html/body/div[1]/div/div/main/div/div[2]/div[2]/div[1]/div/div[1]/section/div[2]/div[2]/div/p"")"),"Loading...")</f>
        <v>Loading...</v>
      </c>
      <c r="C100" s="14" t="str">
        <f>IFERROR(__xludf.DUMMYFUNCTION("importxml(""https://www.trustpilot.com/review/skinout.gg"",""/html/body/div[1]/div/div/main/div/div[2]/div[2]/div[1]/div/div[1]/section/div[2]/span/span"")"),"#REF!")</f>
        <v>#REF!</v>
      </c>
      <c r="D100" s="9"/>
      <c r="E100" s="9"/>
    </row>
    <row r="101">
      <c r="A101" s="33" t="s">
        <v>487</v>
      </c>
      <c r="B101" s="25" t="str">
        <f>IFERROR(__xludf.DUMMYFUNCTION("importxml(""https://www.trustpilot.com/review/skincantor.com"",""/html/body/div[1]/div/div/main/div/div/div[2]/div[1]/div/div[3]/div[1]/div/div[1]/p[1]"")"),"#REF!")</f>
        <v>#REF!</v>
      </c>
      <c r="C101" s="14" t="str">
        <f>IFERROR(__xludf.DUMMYFUNCTION("importxml(""https://www.trustpilot.com/review/skincantor.com"",""/html/body/div[1]/div/div/main/div/div/div[2]/div[1]/div/div[1]/section/div[2]/span/span"")"),"#REF!")</f>
        <v>#REF!</v>
      </c>
    </row>
    <row r="102">
      <c r="A102" s="33" t="s">
        <v>502</v>
      </c>
      <c r="B102" s="25" t="str">
        <f>IFERROR(__xludf.DUMMYFUNCTION("importxml(""https://www.trustpilot.com/review/skins.com"",""/html/body/div[1]/div/div/main/div/div[2]/div[2]/div[1]/div/div[3]/div[2]/div/div[1]/p[1]"")"),"#REF!")</f>
        <v>#REF!</v>
      </c>
      <c r="C102" s="65" t="str">
        <f>IFERROR(__xludf.DUMMYFUNCTION("importxml(""https://www.trustpilot.com/review/skins.com"",""/html/body/div[1]/div/div/main/div/div[2]/div[2]/div[1]/div/div[1]/section/div[2]/span/span"")"),"#REF!")</f>
        <v>#REF!</v>
      </c>
      <c r="D102" s="9"/>
      <c r="E102" s="9"/>
    </row>
    <row r="103">
      <c r="A103" s="34" t="s">
        <v>517</v>
      </c>
      <c r="B103" s="25" t="str">
        <f>IFERROR(__xludf.DUMMYFUNCTION("importxml(""https://www.trustpilot.com/review/uuskins.com"",""/html/body/div[1]/div/div/main/div/div[2]/div[2]/div[1]/div/div[3]/div[1]/div/div[1]/p[1]"")"),"Loading...")</f>
        <v>Loading...</v>
      </c>
      <c r="C103" s="65" t="str">
        <f>IFERROR(__xludf.DUMMYFUNCTION("importxml(""https://www.trustpilot.com/review/uuskins.com"",""/html/body/div[1]/div/div/main/div/div[2]/div[2]/div[1]/div/div[1]/section/div[2]/span/span"")"),"#REF!")</f>
        <v>#REF!</v>
      </c>
    </row>
    <row r="104">
      <c r="A104" s="33" t="s">
        <v>536</v>
      </c>
      <c r="B104" s="25" t="str">
        <f>IFERROR(__xludf.DUMMYFUNCTION("importxml(""https://www.trustpilot.com/review/ntskins.com"",""/html/body/div[1]/div/div/main/div/div[2]/div[2]/div[1]/div/div[3]/div/div/div[1]/p[1]"")"),"#REF!")</f>
        <v>#REF!</v>
      </c>
      <c r="C104" s="65" t="str">
        <f>IFERROR(__xludf.DUMMYFUNCTION("importxml(""https://www.trustpilot.com/review/ntskins.com"",""/html/body/div[1]/div/div/main/div/div[2]/div[2]/div[1]/div/div[1]/section/div[2]/span/span"")"),"#REF!")</f>
        <v>#REF!</v>
      </c>
      <c r="F104" s="38"/>
      <c r="G104" s="39"/>
    </row>
    <row r="105">
      <c r="A105" s="34" t="s">
        <v>345</v>
      </c>
      <c r="B105" s="25" t="str">
        <f>IFERROR(__xludf.DUMMYFUNCTION("importxml(""https://www.trustpilot.com/review/cashed.gg"",""/html/body/div[1]/div/div/main/div/div[2]/div[2]/div[1]/div/div[3]/div[1]/div/div[1]/p[1]"")"),"#REF!")</f>
        <v>#REF!</v>
      </c>
      <c r="C105" s="65" t="str">
        <f>IFERROR(__xludf.DUMMYFUNCTION("importxml(""https://www.trustpilot.com/review/cashed.gg"",""/html/body/div[1]/div/div/main/div/div[2]/div[2]/div[1]/div/div[1]/section/div[2]/span/span"")"),"#REF!")</f>
        <v>#REF!</v>
      </c>
      <c r="F105" s="38"/>
      <c r="G105" s="39"/>
    </row>
    <row r="106">
      <c r="A106" s="33" t="s">
        <v>556</v>
      </c>
      <c r="B106" s="25" t="str">
        <f>IFERROR(__xludf.DUMMYFUNCTION("importxml(""https://www.trustpilot.com/review/balticskins.com"",""/html/body/div[1]/div/div/main/div/div[2]/div[2]/div[1]/div/div[1]/section/div[2]/div[2]/div/p"")"),"#REF!")</f>
        <v>#REF!</v>
      </c>
      <c r="C106" s="65" t="str">
        <f>IFERROR(__xludf.DUMMYFUNCTION("importxml(""https://www.trustpilot.com/review/balticskins.com"",""/html/body/div[1]/div/div/main/div/div[2]/div[2]/div[1]/div/div[1]/section/div[2]/span/span"")"),"#REF!")</f>
        <v>#REF!</v>
      </c>
      <c r="D106" s="9"/>
      <c r="E106" s="9"/>
    </row>
    <row r="107">
      <c r="A107" s="33" t="s">
        <v>566</v>
      </c>
      <c r="B107" s="25" t="str">
        <f>IFERROR(__xludf.DUMMYFUNCTION("importxml(""https://www.trustpilot.com/review/csboard.com"",""/html/body/div[1]/div/div/main/div/div[2]/div[2]/div[1]/div/div[1]/section/div[2]/div[2]/div/p"")"),"#REF!")</f>
        <v>#REF!</v>
      </c>
      <c r="C107" s="65" t="str">
        <f>IFERROR(__xludf.DUMMYFUNCTION("importxml(""https://www.trustpilot.com/review/csboard.com"",""/html/body/div[1]/div/div/main/div/div[2]/div[2]/div[1]/div/div[1]/section/div[2]/span/span"")"),"#REF!")</f>
        <v>#REF!</v>
      </c>
      <c r="F107" s="38"/>
      <c r="G107" s="39"/>
    </row>
    <row r="108">
      <c r="G108" s="39"/>
    </row>
    <row r="109">
      <c r="F109" s="38"/>
      <c r="G109" s="39"/>
    </row>
    <row r="110">
      <c r="A110" s="6" t="s">
        <v>560</v>
      </c>
      <c r="B110" s="25" t="str">
        <f>IFERROR(__xludf.DUMMYFUNCTION("importxml(""https://www.trustpilot.com/review/bitskins.com"",""/html/body/div[1]/div/div/main/div/div[2]/div[2]/div[1]/div/div[3]/div[1]/div/div[1]/p[1]"")"),"Loading...")</f>
        <v>Loading...</v>
      </c>
      <c r="C110" s="14" t="str">
        <f>IFERROR(__xludf.DUMMYFUNCTION("importxml(""https://www.trustpilot.com/review/bitskins.com"",""/html/body/div[1]/div/div/main/div/div[2]/div[2]/div[1]/div/div[1]/section/div[2]/h1/span[2]/span/text()[3]"")"),"#REF!")</f>
        <v>#REF!</v>
      </c>
      <c r="D110" s="9"/>
      <c r="E110" s="9"/>
    </row>
    <row r="111">
      <c r="A111" s="6" t="s">
        <v>525</v>
      </c>
      <c r="B111" s="25" t="str">
        <f>IFERROR(__xludf.DUMMYFUNCTION("importxml(""https://www.trustpilot.com/review/gamerpay.gg"",""/html/body/div[1]/div/div/main/div/div[2]/div[2]/div[1]/div/div[3]/div[1]/div/div[1]/p[1]"")"),"#REF!")</f>
        <v>#REF!</v>
      </c>
      <c r="C111" s="14" t="str">
        <f>IFERROR(__xludf.DUMMYFUNCTION("importxml(""https://www.trustpilot.com/review/gamerpay.gg"",""/html/body/div[1]/div/div/main/div/div[2]/div[2]/div[1]/div/div[1]/section/div[2]/h1/span[2]/span/text()[3]"")"),"#REF!")</f>
        <v>#REF!</v>
      </c>
      <c r="G111" s="39"/>
    </row>
    <row r="112">
      <c r="A112" s="24" t="s">
        <v>632</v>
      </c>
      <c r="B112" s="25" t="str">
        <f>IFERROR(__xludf.DUMMYFUNCTION("importxml(""https://www.trustpilot.com/review/skinbid.com"",""/html[1]/body[1]/div[1]/div[1]/div[1]/main[1]/div[1]/div[2]/div[2]/div[1]/div[1]/div[1]/section[1]/div[2]/div[1]/div[1]/p[1]"")"),"#REF!")</f>
        <v>#REF!</v>
      </c>
      <c r="C112" s="14" t="str">
        <f>IFERROR(__xludf.DUMMYFUNCTION("importxml(""https://www.trustpilot.com/review/skinbid.com"",""/html/body/div[1]/div/div/main/div/div[2]/div[2]/div[1]/div/div[1]/section/div[2]/h1/span[2]/span/text()[3]"")"),"#REF!")</f>
        <v>#REF!</v>
      </c>
      <c r="G112" s="39"/>
    </row>
    <row r="113">
      <c r="A113" s="20" t="s">
        <v>195</v>
      </c>
      <c r="G113" s="39"/>
    </row>
    <row r="114">
      <c r="A114" s="1" t="s">
        <v>0</v>
      </c>
      <c r="B114" s="1" t="s">
        <v>11</v>
      </c>
      <c r="C114" s="4" t="s">
        <v>12</v>
      </c>
      <c r="F114" s="38"/>
      <c r="G114" s="39"/>
    </row>
    <row r="115">
      <c r="A115" s="6" t="s">
        <v>20</v>
      </c>
      <c r="B115" s="25" t="str">
        <f>IFERROR(__xludf.DUMMYFUNCTION("importxml(""https://www.trustpilot.com/review/skinswap.com"",""/html/body/div[1]/div/div/main/div/div[2]/div[2]/div[1]/div[2]/div[3]/div[1]/div/div[1]/p[1]"")"),"#REF!")</f>
        <v>#REF!</v>
      </c>
      <c r="C115" s="14" t="str">
        <f>IFERROR(__xludf.DUMMYFUNCTION("importxml(""https://www.trustpilot.com/review/skinswap.com"",""/html/body/div[1]/div/div/main/div/div[2]/div[2]/div[1]/div[2]/div[1]/section/div[2]/span/span"")"),"Loading...")</f>
        <v>Loading...</v>
      </c>
      <c r="F115" s="38"/>
      <c r="G115" s="39"/>
    </row>
    <row r="116">
      <c r="A116" s="6" t="s">
        <v>55</v>
      </c>
      <c r="B116" s="25" t="str">
        <f>IFERROR(__xludf.DUMMYFUNCTION("importxml(""https://www.trustpilot.com/review/dmarket.com"",""/html/body/div[1]/div/div/main/div/div[2]/div[2]/div[1]/div/div[3]/div[1]/div/div[1]/p[1]"")"),"#REF!")</f>
        <v>#REF!</v>
      </c>
      <c r="C116" s="14" t="str">
        <f>IFERROR(__xludf.DUMMYFUNCTION("importxml(""https://www.trustpilot.com/review/dmarket.com"",""/html/body/div[1]/div/div/main/div/div[2]/div[2]/div[1]/div/div[1]/section/div[2]/span/span"")"),"#REF!")</f>
        <v>#REF!</v>
      </c>
      <c r="F116" s="38"/>
    </row>
    <row r="117">
      <c r="A117" s="6" t="s">
        <v>22</v>
      </c>
      <c r="B117" s="25" t="str">
        <f>IFERROR(__xludf.DUMMYFUNCTION("importxml(""https://www.trustpilot.com/review/tradeit.gg"",""/html/body/div[1]/div/div/main/div/div[2]/div[2]/div[1]/div/div[3]/div[1]/div/div[1]/p[1]"")"),"#REF!")</f>
        <v>#REF!</v>
      </c>
      <c r="C117" s="14" t="str">
        <f>IFERROR(__xludf.DUMMYFUNCTION("importxml(""https://www.trustpilot.com/review/tradeit.gg"",""/html/body/div[1]/div/div/main/div/div[2]/div[2]/div[1]/div/div[1]/section/div[2]/span/span"")"),"#REF!")</f>
        <v>#REF!</v>
      </c>
      <c r="G117" s="39"/>
    </row>
    <row r="118">
      <c r="A118" s="6" t="s">
        <v>19</v>
      </c>
      <c r="B118" s="12" t="str">
        <f>IFERROR(__xludf.DUMMYFUNCTION("importxml(""https://www.trustpilot.com/review/skinport.com"",""/html/body/div[1]/div/div/main/div/div[2]/div[2]/div[1]/div/div[3]/div[1]/div/div[1]/p[1]"")"),"#REF!")</f>
        <v>#REF!</v>
      </c>
      <c r="C118" s="14" t="str">
        <f>IFERROR(__xludf.DUMMYFUNCTION("importxml(""https://www.trustpilot.com/review/skinport.com"",""/html/body/div[1]/div/div/main/div/div[2]/div[2]/div[1]/div/div[1]/section/div[2]/span/span"")"),"#REF!")</f>
        <v>#REF!</v>
      </c>
      <c r="G118" s="39"/>
    </row>
    <row r="119">
      <c r="A119" s="6" t="s">
        <v>36</v>
      </c>
      <c r="B119" s="25" t="str">
        <f>IFERROR(__xludf.DUMMYFUNCTION("importxml(""https://www.trustpilot.com/review/lis-skins.com"",""/html/body/div[1]/div/div/main/div/div[2]/div[2]/div[1]/div[2]/div[3]/div[1]/div/div[1]/p[1]"")"),"#REF!")</f>
        <v>#REF!</v>
      </c>
      <c r="C119" s="14" t="str">
        <f>IFERROR(__xludf.DUMMYFUNCTION("importxml(""https://www.trustpilot.com/review/lis-skins.com"",""/html/body/div[1]/div/div/main/div/div[2]/div[2]/div[1]/div[2]/div[1]/section/div[2]/span/span"")"),"#REF!")</f>
        <v>#REF!</v>
      </c>
    </row>
    <row r="120">
      <c r="A120" s="6" t="s">
        <v>65</v>
      </c>
      <c r="B120" s="18" t="str">
        <f>IFERROR(__xludf.DUMMYFUNCTION("importxml(""https://www.trustpilot.com/review/avan.market"",""/html/body/div[1]/div/div/main/div/div[2]/div[2]/div[1]/div/div[3]/div[1]/div/div[1]/p[1]"")"),"#REF!")</f>
        <v>#REF!</v>
      </c>
      <c r="C120" s="14" t="str">
        <f>IFERROR(__xludf.DUMMYFUNCTION("importxml(""https://www.trustpilot.com/review/avan.market"",""/html/body/div[1]/div/div/main/div/div[2]/div[2]/div[1]/div[2]/div[1]/section/div[2]/span/span"")"),"#REF!")</f>
        <v>#REF!</v>
      </c>
    </row>
    <row r="121">
      <c r="A121" s="6" t="s">
        <v>155</v>
      </c>
      <c r="B121" s="18" t="str">
        <f>IFERROR(__xludf.DUMMYFUNCTION("importxml(""https://www.trustpilot.com/review/itrade.gg"",""/html/body/div[1]/div/div/main/div/div[2]/div[2]/div[1]/div/div[3]/div[1]/div/div[1]/p[1]"")"),"#REF!")</f>
        <v>#REF!</v>
      </c>
      <c r="C121" s="14" t="str">
        <f>IFERROR(__xludf.DUMMYFUNCTION("importxml(""https://www.trustpilot.com/review/itrade.gg"",""/html/body/div[1]/div/div/main/div/div[2]/div[2]/div[1]/div/div[1]/section/div[2]/span/span"")"),"#REF!")</f>
        <v>#REF!</v>
      </c>
      <c r="F121" s="38"/>
    </row>
    <row r="122">
      <c r="A122" s="6" t="s">
        <v>21</v>
      </c>
      <c r="B122" s="18" t="str">
        <f>IFERROR(__xludf.DUMMYFUNCTION("importxml(""https://www.trustpilot.com/review/mannco.store"",""/html/body/div[1]/div/div/main/div/div[2]/div[2]/div[1]/div/div[3]/div[1]/div/div[1]/p[1]"")"),"Loading...")</f>
        <v>Loading...</v>
      </c>
      <c r="C122" s="14" t="str">
        <f>IFERROR(__xludf.DUMMYFUNCTION("importxml(""https://www.trustpilot.com/review/mannco.store"",""/html/body/div[1]/div/div/main/div/div[2]/div[2]/div[1]/div/div[1]/section/div[2]/span/span"")"),"#REF!")</f>
        <v>#REF!</v>
      </c>
      <c r="F122" s="38"/>
    </row>
    <row r="123">
      <c r="A123" s="6" t="s">
        <v>193</v>
      </c>
      <c r="B123" s="25" t="str">
        <f>IFERROR(__xludf.DUMMYFUNCTION("importxml(""https://www.trustpilot.com/review/rustskins.com"",""/html/body/div[1]/div/div/main/div/div[2]/div[2]/div[1]/div/div[3]/div[1]/div/div[1]/p[1]"")"),"#REF!")</f>
        <v>#REF!</v>
      </c>
      <c r="C123" s="14" t="str">
        <f>IFERROR(__xludf.DUMMYFUNCTION("importxml(""https://www.trustpilot.com/review/rustskins.com"",""/html/body/div[1]/div/div/main/div/div[2]/div[2]/div[1]/div/div[1]/section/div[2]/span/span"")"),"#REF!")</f>
        <v>#REF!</v>
      </c>
      <c r="F123" s="38"/>
    </row>
    <row r="124">
      <c r="A124" s="6" t="s">
        <v>118</v>
      </c>
      <c r="B124" s="26">
        <v>4.2</v>
      </c>
      <c r="C124" s="12">
        <v>932.0</v>
      </c>
      <c r="F124" s="38"/>
      <c r="G124" s="39"/>
    </row>
    <row r="125">
      <c r="A125" s="6" t="s">
        <v>149</v>
      </c>
      <c r="B125" s="25" t="str">
        <f>IFERROR(__xludf.DUMMYFUNCTION("importxml(""https://www.trustpilot.com/review/skin.place"",""/html/body/div[1]/div/div/main/div/div[2]/div[2]/div[1]/div[2]/div[3]/div[1]/div/div[1]/p[1]"")"),"#REF!")</f>
        <v>#REF!</v>
      </c>
      <c r="C125" s="14" t="str">
        <f>IFERROR(__xludf.DUMMYFUNCTION("importxml(""https://www.trustpilot.com/review/skin.place"",""/html/body/div[1]/div/div/main/div/div[2]/div[2]/div[1]/div[2]/div[1]/section/div[2]/span/span"")"),"#REF!")</f>
        <v>#REF!</v>
      </c>
      <c r="F125" s="38"/>
      <c r="G125" s="39"/>
    </row>
    <row r="126">
      <c r="A126" s="6" t="s">
        <v>124</v>
      </c>
      <c r="B126" s="25" t="str">
        <f>IFERROR(__xludf.DUMMYFUNCTION("importxml(""https://www.trustpilot.com/review/sellyourskins.com"",""/html/body/div[1]/div/div/main/div/div[2]/div[2]/div[1]/div/div[3]/div[1]/div/div[1]/p[1]"")"),"#REF!")</f>
        <v>#REF!</v>
      </c>
      <c r="C126" s="18" t="str">
        <f>IFERROR(__xludf.DUMMYFUNCTION("importxml(""https://www.trustpilot.com/review/sellyourskins.com"",""/html/body/div[1]/div/div/main/div/div[2]/div[2]/div[1]/div/div[1]/section/div[2]/span/span"")"),"Loading...")</f>
        <v>Loading...</v>
      </c>
      <c r="F126" s="38"/>
      <c r="G126" s="39"/>
    </row>
    <row r="127">
      <c r="A127" s="6" t="s">
        <v>174</v>
      </c>
      <c r="B127" s="25" t="str">
        <f>IFERROR(__xludf.DUMMYFUNCTION("importxml(""https://www.trustpilot.com/review/skincashier.com"",""/html/body/div[1]/div/div/main/div/div[2]/div[2]/div[1]/div/div[3]/div[1]/div/div[1]/p[1]"")"),"#REF!")</f>
        <v>#REF!</v>
      </c>
      <c r="C127" s="14" t="str">
        <f>IFERROR(__xludf.DUMMYFUNCTION("importxml(""https://www.trustpilot.com/review/skincashier.com"",""/html/body/div[1]/div/div/main/div/div[2]/div[2]/div[1]/div/div[1]/section/div[2]/span/span"")"),"#REF!")</f>
        <v>#REF!</v>
      </c>
      <c r="F127" s="38"/>
      <c r="G127" s="39"/>
    </row>
    <row r="128">
      <c r="A128" s="6" t="s">
        <v>259</v>
      </c>
      <c r="B128" s="18" t="str">
        <f>IFERROR(__xludf.DUMMYFUNCTION("importxml(""https://www.trustpilot.com/review/rapidskins.com"",""/html/body/div[1]/div/div/main/div/div[2]/div[2]/div[1]/div/div[3]/div[1]/div/div[1]/p[1]"")"),"#REF!")</f>
        <v>#REF!</v>
      </c>
      <c r="C128" s="14" t="str">
        <f>IFERROR(__xludf.DUMMYFUNCTION("importxml(""https://www.trustpilot.com/review/rapidskins.com"",""/html/body/div[1]/div/div/main/div/div[2]/div[2]/div[1]/div/div[1]/section/div[2]/span/span"")"),"#REF!")</f>
        <v>#REF!</v>
      </c>
      <c r="F128" s="38"/>
      <c r="G128" s="39"/>
    </row>
    <row r="129">
      <c r="A129" s="6" t="s">
        <v>143</v>
      </c>
      <c r="B129" s="25" t="str">
        <f>IFERROR(__xludf.DUMMYFUNCTION("importxml(""https://www.trustpilot.com/review/waxpeer.com"",""/html/body/div[1]/div/div/main/div/div[2]/div[2]/div[1]/div/div[3]/div[1]/div/div[1]/p[1]"")"),"Loading...")</f>
        <v>Loading...</v>
      </c>
      <c r="C129" s="18" t="str">
        <f>IFERROR(__xludf.DUMMYFUNCTION("importxml(""https://www.trustpilot.com/review/waxpeer.com"",""/html/body/div[1]/div/div/main/div/div[2]/div[2]/div[1]/div/div[1]/section/div[2]/span/span"")"),"#REF!")</f>
        <v>#REF!</v>
      </c>
    </row>
    <row r="130">
      <c r="A130" s="6" t="s">
        <v>231</v>
      </c>
      <c r="B130" s="25" t="str">
        <f>IFERROR(__xludf.DUMMYFUNCTION("importxml(""https://www.trustpilot.com/review/shadowpay.com"",""/html/body/div[1]/div/div/main/div/div[2]/div[2]/div[1]/div/div[3]/div[1]/div/div[1]/p[1]"")"),"#REF!")</f>
        <v>#REF!</v>
      </c>
      <c r="C130" s="18" t="str">
        <f>IFERROR(__xludf.DUMMYFUNCTION("importxml(""https://www.trustpilot.com/review/shadowpay.com"",""/html/body/div[1]/div/div/main/div/div[2]/div[2]/div[1]/div/div[1]/section/div[2]/span/span"")"),"#REF!")</f>
        <v>#REF!</v>
      </c>
    </row>
    <row r="131">
      <c r="A131" s="6" t="s">
        <v>110</v>
      </c>
      <c r="B131" s="25" t="str">
        <f>IFERROR(__xludf.DUMMYFUNCTION("importxml(""https://www.trustpilot.com/review/cs.deals"",""/html/body/div[1]/div/div/main/div/div[2]/div[2]/div[1]/div/div[3]/div[1]/div/div[1]/p[1]"")"),"#REF!")</f>
        <v>#REF!</v>
      </c>
      <c r="C131" s="18" t="str">
        <f>IFERROR(__xludf.DUMMYFUNCTION("importxml(""https://www.trustpilot.com/review/cs.deals"",""/html/body/div[1]/div/div/main/div/div[2]/div[2]/div[1]/div/div[1]/section/div[2]/span/span"")"),"#REF!")</f>
        <v>#REF!</v>
      </c>
      <c r="F131" s="38"/>
      <c r="G131" s="39"/>
    </row>
    <row r="132">
      <c r="A132" s="6" t="s">
        <v>157</v>
      </c>
      <c r="B132" s="25" t="str">
        <f>IFERROR(__xludf.DUMMYFUNCTION("importxml(""https://www.trustpilot.com/review/skins.cash"",""/html/body/div[1]/div/div/main/div/div[2]/div[2]/div[1]/div/div[3]/div[1]/div/div[1]/p[1]"")"),"#REF!")</f>
        <v>#REF!</v>
      </c>
      <c r="C132" s="14" t="str">
        <f>IFERROR(__xludf.DUMMYFUNCTION("importxml(""https://www.trustpilot.com/review/skins.cash"",""/html/body/div[1]/div/div/main/div/div[2]/div[2]/div[1]/div/div[1]/section/div[2]/span/span"")"),"#REF!")</f>
        <v>#REF!</v>
      </c>
    </row>
    <row r="133">
      <c r="A133" s="24" t="s">
        <v>284</v>
      </c>
      <c r="B133" s="25" t="str">
        <f>IFERROR(__xludf.DUMMYFUNCTION("importxml(""https://www.trustpilot.com/review/skin.land"",""/html/body/div[1]/div/div/main/div/div[2]/div[2]/div[1]/div[2]/div[3]/div[1]/div/div[1]/p[1]"")"),"#REF!")</f>
        <v>#REF!</v>
      </c>
      <c r="C133" s="14" t="str">
        <f>IFERROR(__xludf.DUMMYFUNCTION("importxml(""https://www.trustpilot.com/review/skin.land"",""/html/body/div[1]/div/div/main/div/div[2]/div[2]/div[1]/div[2]/div[1]/section/div[2]/span/span"")"),"#REF!")</f>
        <v>#REF!</v>
      </c>
    </row>
    <row r="134">
      <c r="A134" s="24" t="s">
        <v>247</v>
      </c>
      <c r="B134" s="25" t="str">
        <f>IFERROR(__xludf.DUMMYFUNCTION("importxml(""https://www.trustpilot.com/review/loot.farm"",""/html/body/div[1]/div/div/main/div/div[2]/div[2]/div[1]/div/div[3]/div[1]/div/div[1]/p[1]"")"),"#REF!")</f>
        <v>#REF!</v>
      </c>
      <c r="C134" s="14" t="str">
        <f>IFERROR(__xludf.DUMMYFUNCTION("importxml(""https://www.trustpilot.com/review/loot.farm"",""/html/body/div[1]/div/div/main/div/div[2]/div[2]/div[1]/div/div[1]/section/div[2]/span/span"")"),"#REF!")</f>
        <v>#REF!</v>
      </c>
    </row>
    <row r="135">
      <c r="A135" s="6" t="s">
        <v>236</v>
      </c>
      <c r="B135" s="18" t="str">
        <f>IFERROR(__xludf.DUMMYFUNCTION("importxml(""https://www.trustpilot.com/review/swap.gg"",""/html/body/div[1]/div/div/main/div/div[2]/div[2]/div[1]/div/div[3]/div[1]/div/div[1]/p[1]"")"),"#REF!")</f>
        <v>#REF!</v>
      </c>
      <c r="C135" s="14" t="str">
        <f>IFERROR(__xludf.DUMMYFUNCTION("importxml(""https://www.trustpilot.com/review/swap.gg"",""/html/body/div[1]/div/div/main/div/div[2]/div[2]/div[1]/div[2]/div[1]/section/div[2]/span/span"")"),"#REF!")</f>
        <v>#REF!</v>
      </c>
    </row>
    <row r="136">
      <c r="A136" s="24" t="s">
        <v>264</v>
      </c>
      <c r="B136" s="25" t="str">
        <f>IFERROR(__xludf.DUMMYFUNCTION("importxml(""https://www.trustpilot.com/review/cs.trade"",""/html/body/div[1]/div/div/main/div/div[2]/div[2]/div[1]/div/div[3]/div[1]/div/div[1]/p[1]"")"),"#REF!")</f>
        <v>#REF!</v>
      </c>
      <c r="C136" s="14" t="str">
        <f>IFERROR(__xludf.DUMMYFUNCTION("importxml(""https://www.trustpilot.com/review/cs.trade"",""/html/body/div[1]/div/div/main/div/div[2]/div[2]/div[1]/div/div[1]/section/div[2]/span/span"")"),"#REF!")</f>
        <v>#REF!</v>
      </c>
    </row>
    <row r="137">
      <c r="A137" s="34" t="s">
        <v>345</v>
      </c>
      <c r="B137" s="25" t="str">
        <f>IFERROR(__xludf.DUMMYFUNCTION("importxml(""https://www.trustpilot.com/review/cashed.gg"",""/html/body/div[1]/div/div/main/div/div[2]/div[2]/div[1]/div/div[3]/div[1]/div/div[1]/p[1]"")"),"#REF!")</f>
        <v>#REF!</v>
      </c>
      <c r="C137" s="65" t="str">
        <f>IFERROR(__xludf.DUMMYFUNCTION("importxml(""https://www.trustpilot.com/review/cashed.gg"",""/html/body/div[1]/div/div/main/div/div[2]/div[2]/div[1]/div/div[1]/section/div[2]/span/span"")"),"#REF!")</f>
        <v>#REF!</v>
      </c>
    </row>
    <row r="138">
      <c r="E138" s="24" t="s">
        <v>671</v>
      </c>
      <c r="F138" s="25" t="str">
        <f>IFERROR(__xludf.DUMMYFUNCTION("importxml(""https://www.trustpilot.com/review/snipeskins.com"",""/html/body/div[1]/div/div/main/div/div[2]/div[2]/div[1]/div/div[3]/div[1]/div/div[1]/p[1]"")"),"#REF!")</f>
        <v>#REF!</v>
      </c>
      <c r="G138" s="14" t="str">
        <f>IFERROR(__xludf.DUMMYFUNCTION("importxml(""https://www.trustpilot.com/review/snipeskins.com"",""/html/body/div[1]/div/div/main/div/div[2]/div[2]/div[1]/div/div[1]/section/div[2]/h1/span[2]/span/text()[3]"")"),"#REF!")</f>
        <v>#REF!</v>
      </c>
    </row>
    <row r="139">
      <c r="A139" s="20" t="s">
        <v>818</v>
      </c>
    </row>
    <row r="140">
      <c r="A140" s="1" t="s">
        <v>0</v>
      </c>
      <c r="B140" s="1" t="s">
        <v>11</v>
      </c>
      <c r="C140" s="4" t="s">
        <v>12</v>
      </c>
    </row>
    <row r="141">
      <c r="A141" s="6" t="s">
        <v>21</v>
      </c>
      <c r="B141" s="18" t="str">
        <f>IFERROR(__xludf.DUMMYFUNCTION("importxml(""https://www.trustpilot.com/review/mannco.store"",""/html/body/div[1]/div/div/main/div/div[2]/div[2]/div[1]/div/div[3]/div[1]/div/div[1]/p[1]"")"),"Loading...")</f>
        <v>Loading...</v>
      </c>
      <c r="C141" s="14" t="str">
        <f>IFERROR(__xludf.DUMMYFUNCTION("importxml(""https://www.trustpilot.com/review/mannco.store"",""/html/body/div[1]/div/div/main/div/div[2]/div[2]/div[1]/div/div[1]/section/div[2]/span/span"")"),"#REF!")</f>
        <v>#REF!</v>
      </c>
    </row>
    <row r="142">
      <c r="A142" s="6" t="s">
        <v>19</v>
      </c>
      <c r="B142" s="12" t="str">
        <f>IFERROR(__xludf.DUMMYFUNCTION("importxml(""https://www.trustpilot.com/review/skinport.com"",""/html/body/div[1]/div/div/main/div/div[2]/div[2]/div[1]/div/div[3]/div[1]/div/div[1]/p[1]"")"),"#REF!")</f>
        <v>#REF!</v>
      </c>
      <c r="C142" s="14" t="str">
        <f>IFERROR(__xludf.DUMMYFUNCTION("importxml(""https://www.trustpilot.com/review/skinport.com"",""/html/body/div[1]/div/div/main/div/div[2]/div[2]/div[1]/div/div[1]/section/div[2]/span/span"")"),"#REF!")</f>
        <v>#REF!</v>
      </c>
    </row>
    <row r="143">
      <c r="A143" s="6" t="s">
        <v>55</v>
      </c>
      <c r="B143" s="25" t="str">
        <f>IFERROR(__xludf.DUMMYFUNCTION("importxml(""https://www.trustpilot.com/review/dmarket.com"",""/html/body/div[1]/div/div/main/div/div[2]/div[2]/div[1]/div/div[3]/div[1]/div/div[1]/p[1]"")"),"#REF!")</f>
        <v>#REF!</v>
      </c>
      <c r="C143" s="14" t="str">
        <f>IFERROR(__xludf.DUMMYFUNCTION("importxml(""https://www.trustpilot.com/review/dmarket.com"",""/html/body/div[1]/div/div/main/div/div[2]/div[2]/div[1]/div/div[1]/section/div[2]/span/span"")"),"#REF!")</f>
        <v>#REF!</v>
      </c>
    </row>
    <row r="144">
      <c r="A144" s="6" t="s">
        <v>22</v>
      </c>
      <c r="B144" s="25" t="str">
        <f>IFERROR(__xludf.DUMMYFUNCTION("importxml(""https://www.trustpilot.com/review/tradeit.gg"",""/html/body/div[1]/div/div/main/div/div[2]/div[2]/div[1]/div/div[3]/div[1]/div/div[1]/p[1]"")"),"#REF!")</f>
        <v>#REF!</v>
      </c>
      <c r="C144" s="14" t="str">
        <f>IFERROR(__xludf.DUMMYFUNCTION("importxml(""https://www.trustpilot.com/review/tradeit.gg"",""/html/body/div[1]/div/div/main/div/div[2]/div[2]/div[1]/div/div[1]/section/div[2]/span/span"")"),"#REF!")</f>
        <v>#REF!</v>
      </c>
    </row>
    <row r="145">
      <c r="A145" s="6" t="s">
        <v>65</v>
      </c>
      <c r="B145" s="18" t="str">
        <f>IFERROR(__xludf.DUMMYFUNCTION("importxml(""https://www.trustpilot.com/review/avan.market"",""/html/body/div[1]/div/div/main/div/div[2]/div[2]/div[1]/div/div[3]/div[1]/div/div[1]/p[1]"")"),"#REF!")</f>
        <v>#REF!</v>
      </c>
      <c r="C145" s="14" t="str">
        <f>IFERROR(__xludf.DUMMYFUNCTION("importxml(""https://www.trustpilot.com/review/avan.market"",""/html/body/div[1]/div/div/main/div/div[2]/div[2]/div[1]/div[2]/div[1]/section/div[2]/span/span"")"),"#REF!")</f>
        <v>#REF!</v>
      </c>
    </row>
    <row r="146">
      <c r="A146" s="6" t="s">
        <v>110</v>
      </c>
      <c r="B146" s="25" t="str">
        <f>IFERROR(__xludf.DUMMYFUNCTION("importxml(""https://www.trustpilot.com/review/cs.deals"",""/html/body/div[1]/div/div/main/div/div[2]/div[2]/div[1]/div/div[3]/div[1]/div/div[1]/p[1]"")"),"#REF!")</f>
        <v>#REF!</v>
      </c>
      <c r="C146" s="18" t="str">
        <f>IFERROR(__xludf.DUMMYFUNCTION("importxml(""https://www.trustpilot.com/review/cs.deals"",""/html/body/div[1]/div/div/main/div/div[2]/div[2]/div[1]/div/div[1]/section/div[2]/span/span"")"),"#REF!")</f>
        <v>#REF!</v>
      </c>
    </row>
    <row r="147">
      <c r="A147" s="6" t="s">
        <v>124</v>
      </c>
      <c r="B147" s="25" t="str">
        <f>IFERROR(__xludf.DUMMYFUNCTION("importxml(""https://www.trustpilot.com/review/sellyourskins.com"",""/html/body/div[1]/div/div/main/div/div[2]/div[2]/div[1]/div/div[3]/div[1]/div/div[1]/p[1]"")"),"#REF!")</f>
        <v>#REF!</v>
      </c>
      <c r="C147" s="18" t="str">
        <f>IFERROR(__xludf.DUMMYFUNCTION("importxml(""https://www.trustpilot.com/review/sellyourskins.com"",""/html/body/div[1]/div/div/main/div/div[2]/div[2]/div[1]/div/div[1]/section/div[2]/span/span"")"),"Loading...")</f>
        <v>Loading...</v>
      </c>
    </row>
    <row r="148">
      <c r="A148" s="6" t="s">
        <v>143</v>
      </c>
      <c r="B148" s="25" t="str">
        <f>IFERROR(__xludf.DUMMYFUNCTION("importxml(""https://www.trustpilot.com/review/waxpeer.com"",""/html/body/div[1]/div/div/main/div/div[2]/div[2]/div[1]/div/div[3]/div[1]/div/div[1]/p[1]"")"),"Loading...")</f>
        <v>Loading...</v>
      </c>
      <c r="C148" s="18" t="str">
        <f>IFERROR(__xludf.DUMMYFUNCTION("importxml(""https://www.trustpilot.com/review/waxpeer.com"",""/html/body/div[1]/div/div/main/div/div[2]/div[2]/div[1]/div/div[1]/section/div[2]/span/span"")"),"#REF!")</f>
        <v>#REF!</v>
      </c>
    </row>
    <row r="149">
      <c r="A149" s="6" t="s">
        <v>157</v>
      </c>
      <c r="B149" s="25" t="str">
        <f>IFERROR(__xludf.DUMMYFUNCTION("importxml(""https://www.trustpilot.com/review/skins.cash"",""/html/body/div[1]/div/div/main/div/div[2]/div[2]/div[1]/div/div[3]/div[1]/div/div[1]/p[1]"")"),"#REF!")</f>
        <v>#REF!</v>
      </c>
      <c r="C149" s="14" t="str">
        <f>IFERROR(__xludf.DUMMYFUNCTION("importxml(""https://www.trustpilot.com/review/skins.cash"",""/html/body/div[1]/div/div/main/div/div[2]/div[2]/div[1]/div/div[1]/section/div[2]/span/span"")"),"#REF!")</f>
        <v>#REF!</v>
      </c>
    </row>
    <row r="150">
      <c r="A150" s="6" t="s">
        <v>174</v>
      </c>
      <c r="B150" s="25" t="str">
        <f>IFERROR(__xludf.DUMMYFUNCTION("importxml(""https://www.trustpilot.com/review/skincashier.com"",""/html/body/div[1]/div/div/main/div/div[2]/div[2]/div[1]/div/div[3]/div[1]/div/div[1]/p[1]"")"),"#REF!")</f>
        <v>#REF!</v>
      </c>
      <c r="C150" s="14" t="str">
        <f>IFERROR(__xludf.DUMMYFUNCTION("importxml(""https://www.trustpilot.com/review/skincashier.com"",""/html/body/div[1]/div/div/main/div/div[2]/div[2]/div[1]/div/div[1]/section/div[2]/span/span"")"),"#REF!")</f>
        <v>#REF!</v>
      </c>
    </row>
    <row r="151">
      <c r="A151" s="6" t="s">
        <v>193</v>
      </c>
      <c r="B151" s="25" t="str">
        <f>IFERROR(__xludf.DUMMYFUNCTION("importxml(""https://www.trustpilot.com/review/rustskins.com"",""/html/body/div[1]/div/div/main/div/div[2]/div[2]/div[1]/div/div[3]/div[1]/div/div[1]/p[1]"")"),"#REF!")</f>
        <v>#REF!</v>
      </c>
      <c r="C151" s="14" t="str">
        <f>IFERROR(__xludf.DUMMYFUNCTION("importxml(""https://www.trustpilot.com/review/rustskins.com"",""/html/body/div[1]/div/div/main/div/div[2]/div[2]/div[1]/div/div[1]/section/div[2]/span/span"")"),"#REF!")</f>
        <v>#REF!</v>
      </c>
    </row>
    <row r="152">
      <c r="A152" s="33" t="s">
        <v>205</v>
      </c>
      <c r="B152" s="25" t="str">
        <f>IFERROR(__xludf.DUMMYFUNCTION("importxml(""https://www.trustpilot.com/review/merchant.tf"",""/html/body/div[1]/div/div/main/div/div/div[2]/div[1]/div/div[1]/section/div[2]/div[2]/div/p"")"),"#REF!")</f>
        <v>#REF!</v>
      </c>
      <c r="C152" s="14" t="str">
        <f>IFERROR(__xludf.DUMMYFUNCTION("importxml(""https://www.trustpilot.com/review/merchant.tf"",""/html/body/div[1]/div/div/main/div/div/div[2]/div[1]/div/div[1]/section/div[2]/span/span"")"),"Loading...")</f>
        <v>Loading...</v>
      </c>
    </row>
    <row r="153">
      <c r="A153" s="6" t="s">
        <v>220</v>
      </c>
      <c r="B153" s="25" t="str">
        <f>IFERROR(__xludf.DUMMYFUNCTION("importxml(""https://www.trustpilot.com/review/ctrade.tf"",""/html/body/div[1]/div/div/main/div/div[2]/div[2]/div[1]/div/div[1]/section/div[2]/div[2]/div/p"")"),"#REF!")</f>
        <v>#REF!</v>
      </c>
      <c r="C153" s="14" t="str">
        <f>IFERROR(__xludf.DUMMYFUNCTION("importxml(""https://www.trustpilot.com/review/ctrade.tf"",""/html/body/div[1]/div/div/main/div/div[2]/div[2]/div[1]/div/div[1]/section/div[2]/span/span"")"),"#REF!")</f>
        <v>#REF!</v>
      </c>
    </row>
    <row r="154">
      <c r="A154" s="6" t="s">
        <v>236</v>
      </c>
      <c r="B154" s="18" t="str">
        <f>IFERROR(__xludf.DUMMYFUNCTION("importxml(""https://www.trustpilot.com/review/swap.gg"",""/html/body/div[1]/div/div/main/div/div[2]/div[2]/div[1]/div/div[3]/div[1]/div/div[1]/p[1]"")"),"#REF!")</f>
        <v>#REF!</v>
      </c>
      <c r="C154" s="14" t="str">
        <f>IFERROR(__xludf.DUMMYFUNCTION("importxml(""https://www.trustpilot.com/review/swap.gg"",""/html/body/div[1]/div/div/main/div/div[2]/div[2]/div[1]/div[2]/div[1]/section/div[2]/span/span"")"),"#REF!")</f>
        <v>#REF!</v>
      </c>
    </row>
    <row r="155">
      <c r="A155" s="24" t="s">
        <v>247</v>
      </c>
      <c r="B155" s="25" t="str">
        <f>IFERROR(__xludf.DUMMYFUNCTION("importxml(""https://www.trustpilot.com/review/loot.farm"",""/html/body/div[1]/div/div/main/div/div[2]/div[2]/div[1]/div/div[3]/div[1]/div/div[1]/p[1]"")"),"#REF!")</f>
        <v>#REF!</v>
      </c>
      <c r="C155" s="14" t="str">
        <f>IFERROR(__xludf.DUMMYFUNCTION("importxml(""https://www.trustpilot.com/review/loot.farm"",""/html/body/div[1]/div/div/main/div/div[2]/div[2]/div[1]/div/div[1]/section/div[2]/span/span"")"),"#REF!")</f>
        <v>#REF!</v>
      </c>
    </row>
    <row r="156">
      <c r="A156" s="24" t="s">
        <v>256</v>
      </c>
      <c r="B156" s="25" t="str">
        <f>IFERROR(__xludf.DUMMYFUNCTION("importxml(""https://www.trustpilot.com/review/marketplace.tf"",""/html/body/div[1]/div/div/main/div/div[2]/div[2]/div[1]/div/div[3]/div[1]/div/div[1]/p[1]"")"),"#REF!")</f>
        <v>#REF!</v>
      </c>
      <c r="C156" s="14" t="str">
        <f>IFERROR(__xludf.DUMMYFUNCTION("importxml(""https://www.trustpilot.com/review/marketplace.tf"",""/html/body/div[1]/div/div/main/div/div[2]/div[2]/div[1]/div/div[1]/section/div[2]/span/span"")"),"#REF!")</f>
        <v>#REF!</v>
      </c>
    </row>
    <row r="157">
      <c r="A157" s="24" t="s">
        <v>264</v>
      </c>
      <c r="B157" s="25" t="str">
        <f>IFERROR(__xludf.DUMMYFUNCTION("importxml(""https://www.trustpilot.com/review/cs.trade"",""/html/body/div[1]/div/div/main/div/div[2]/div[2]/div[1]/div/div[3]/div[1]/div/div[1]/p[1]"")"),"#REF!")</f>
        <v>#REF!</v>
      </c>
      <c r="C157" s="14" t="str">
        <f>IFERROR(__xludf.DUMMYFUNCTION("importxml(""https://www.trustpilot.com/review/cs.trade"",""/html/body/div[1]/div/div/main/div/div[2]/div[2]/div[1]/div/div[1]/section/div[2]/span/span"")"),"#REF!")</f>
        <v>#REF!</v>
      </c>
    </row>
    <row r="158">
      <c r="A158" s="6" t="s">
        <v>277</v>
      </c>
      <c r="B158" s="25" t="str">
        <f>IFERROR(__xludf.DUMMYFUNCTION("importxml(""https://www.trustpilot.com/review/backpack.tf"",""/html/body/div[1]/div/div/main/div/div[2]/div[2]/div[1]/div/div[3]/div[1]/div/div[1]/p[1]"")"),"#REF!")</f>
        <v>#REF!</v>
      </c>
      <c r="C158" s="14" t="str">
        <f>IFERROR(__xludf.DUMMYFUNCTION("importxml(""https://www.trustpilot.com/review/backpack.tf"",""/html/body/div[1]/div/div/main/div/div[2]/div[2]/div[1]/div/div[1]/section/div[2]/span/span"")"),"#REF!")</f>
        <v>#REF!</v>
      </c>
    </row>
    <row r="159">
      <c r="A159" s="24" t="s">
        <v>282</v>
      </c>
      <c r="B159" s="25" t="str">
        <f>IFERROR(__xludf.DUMMYFUNCTION("importxml(""https://www.trustpilot.com/review/stntrading.eu"",""/html/body/div[1]/div/div/main/div/div[2]/div[2]/div[1]/div/div[3]/div[1]/div/div[1]/p[1]"")"),"#REF!")</f>
        <v>#REF!</v>
      </c>
      <c r="C159" s="14" t="str">
        <f>IFERROR(__xludf.DUMMYFUNCTION("importxml(""https://www.trustpilot.com/review/stntrading.eu"",""/html/body/div[1]/div/div/main/div/div[2]/div[2]/div[1]/div/div[1]/section/div[2]/span/span"")"),"#REF!")</f>
        <v>#REF!</v>
      </c>
    </row>
    <row r="160">
      <c r="A160" s="24" t="s">
        <v>292</v>
      </c>
      <c r="B160" s="25" t="str">
        <f>IFERROR(__xludf.DUMMYFUNCTION("importxml(""https://www.trustpilot.com/review/scrap.tf"",""/html/body/div[1]/div/div/main/div/div[2]/div[2]/div[1]/div/div[3]/div[1]/div/div[1]/p[1]"")"),"#REF!")</f>
        <v>#REF!</v>
      </c>
      <c r="C160" s="14" t="str">
        <f>IFERROR(__xludf.DUMMYFUNCTION("importxml(""https://www.trustpilot.com/review/scrap.tf"",""/html/body/div[1]/div/div/main/div/div[2]/div[2]/div[1]/div/div[1]/section/div[2]/span/span"")"),"#REF!")</f>
        <v>#REF!</v>
      </c>
    </row>
    <row r="161">
      <c r="A161" s="24" t="s">
        <v>300</v>
      </c>
      <c r="B161" s="25" t="str">
        <f>IFERROR(__xludf.DUMMYFUNCTION("importxml(""https://www.trustpilot.com/review/mannco.trade"",""/html/body/div[1]/div/div/main/div/div/div[2]/div[1]/div/div[3]/div[1]/div/div[1]/p[1]"")"),"#REF!")</f>
        <v>#REF!</v>
      </c>
      <c r="C161" s="14" t="str">
        <f>IFERROR(__xludf.DUMMYFUNCTION("importxml(""https://www.trustpilot.com/review/mannco.trade"",""/html/body/div[1]/div/div/main/div/div/div[2]/div[1]/div/div[1]/section/div[2]/span/span"")"),"#REF!")</f>
        <v>#REF!</v>
      </c>
    </row>
    <row r="162">
      <c r="A162" s="24" t="s">
        <v>307</v>
      </c>
      <c r="B162" s="25" t="str">
        <f>IFERROR(__xludf.DUMMYFUNCTION("importxml(""https://www.trustpilot.com/review/quicksell.store"",""/html/body/div[1]/div/div/main/div/div[2]/div[2]/div[1]/div/div[3]/div[1]/div/div[1]/p[1]"")"),"Loading...")</f>
        <v>Loading...</v>
      </c>
      <c r="C162" s="14" t="str">
        <f>IFERROR(__xludf.DUMMYFUNCTION("importxml(""https://www.trustpilot.com/review/quicksell.store"",""/html/body/div[1]/div/div/main/div/div[2]/div[2]/div[1]/div/div[1]/section/div[2]/span/span"")"),"#REF!")</f>
        <v>#REF!</v>
      </c>
    </row>
    <row r="163">
      <c r="A163" s="24" t="s">
        <v>314</v>
      </c>
      <c r="B163" s="12" t="s">
        <v>96</v>
      </c>
      <c r="C163" s="12" t="s">
        <v>96</v>
      </c>
    </row>
    <row r="164">
      <c r="A164" s="24" t="s">
        <v>317</v>
      </c>
      <c r="B164" s="12" t="s">
        <v>96</v>
      </c>
      <c r="C164" s="12" t="s">
        <v>96</v>
      </c>
    </row>
    <row r="165">
      <c r="A165" s="24" t="s">
        <v>321</v>
      </c>
      <c r="B165" s="12" t="s">
        <v>96</v>
      </c>
      <c r="C165" s="12" t="s">
        <v>96</v>
      </c>
    </row>
    <row r="166">
      <c r="A166" s="24" t="s">
        <v>328</v>
      </c>
      <c r="B166" s="12" t="s">
        <v>96</v>
      </c>
      <c r="C166" s="12" t="s">
        <v>96</v>
      </c>
    </row>
    <row r="167">
      <c r="A167" s="24" t="s">
        <v>335</v>
      </c>
      <c r="B167" s="12" t="s">
        <v>96</v>
      </c>
      <c r="C167" s="12" t="s">
        <v>96</v>
      </c>
    </row>
    <row r="175">
      <c r="A175" s="20" t="s">
        <v>261</v>
      </c>
    </row>
    <row r="176">
      <c r="A176" s="1" t="s">
        <v>0</v>
      </c>
      <c r="B176" s="1" t="s">
        <v>11</v>
      </c>
      <c r="C176" s="4" t="s">
        <v>12</v>
      </c>
    </row>
    <row r="177">
      <c r="A177" s="6" t="s">
        <v>19</v>
      </c>
      <c r="B177" s="12" t="str">
        <f>IFERROR(__xludf.DUMMYFUNCTION("importxml(""https://www.trustpilot.com/review/skinport.com"",""/html/body/div[1]/div/div/main/div/div[2]/div[2]/div[1]/div/div[3]/div[1]/div/div[1]/p[1]"")"),"#REF!")</f>
        <v>#REF!</v>
      </c>
      <c r="C177" s="14" t="str">
        <f>IFERROR(__xludf.DUMMYFUNCTION("importxml(""https://www.trustpilot.com/review/skinport.com"",""/html/body/div[1]/div/div/main/div/div[2]/div[2]/div[1]/div/div[1]/section/div[2]/span/span"")"),"#REF!")</f>
        <v>#REF!</v>
      </c>
    </row>
    <row r="178">
      <c r="A178" s="6" t="s">
        <v>36</v>
      </c>
      <c r="B178" s="25" t="str">
        <f>IFERROR(__xludf.DUMMYFUNCTION("importxml(""https://www.trustpilot.com/review/lis-skins.com"",""/html/body/div[1]/div/div/main/div/div[2]/div[2]/div[1]/div[2]/div[3]/div[1]/div/div[1]/p[1]"")"),"#REF!")</f>
        <v>#REF!</v>
      </c>
      <c r="C178" s="14" t="str">
        <f>IFERROR(__xludf.DUMMYFUNCTION("importxml(""https://www.trustpilot.com/review/lis-skins.com"",""/html/body/div[1]/div/div/main/div/div[2]/div[2]/div[1]/div[2]/div[1]/section/div[2]/span/span"")"),"#REF!")</f>
        <v>#REF!</v>
      </c>
    </row>
    <row r="179">
      <c r="A179" s="6" t="s">
        <v>65</v>
      </c>
      <c r="B179" s="18" t="str">
        <f>IFERROR(__xludf.DUMMYFUNCTION("importxml(""https://www.trustpilot.com/review/avan.market"",""/html/body/div[1]/div/div/main/div/div[2]/div[2]/div[1]/div/div[3]/div[1]/div/div[1]/p[1]"")"),"#REF!")</f>
        <v>#REF!</v>
      </c>
      <c r="C179" s="14" t="str">
        <f>IFERROR(__xludf.DUMMYFUNCTION("importxml(""https://www.trustpilot.com/review/avan.market"",""/html/body/div[1]/div/div/main/div/div[2]/div[2]/div[1]/div[2]/div[1]/section/div[2]/span/span"")"),"#REF!")</f>
        <v>#REF!</v>
      </c>
    </row>
    <row r="180">
      <c r="A180" s="6" t="s">
        <v>55</v>
      </c>
      <c r="B180" s="25" t="str">
        <f>IFERROR(__xludf.DUMMYFUNCTION("importxml(""https://www.trustpilot.com/review/dmarket.com"",""/html/body/div[1]/div/div/main/div/div[2]/div[2]/div[1]/div/div[3]/div[1]/div/div[1]/p[1]"")"),"#REF!")</f>
        <v>#REF!</v>
      </c>
      <c r="C180" s="14" t="str">
        <f>IFERROR(__xludf.DUMMYFUNCTION("importxml(""https://www.trustpilot.com/review/dmarket.com"",""/html/body/div[1]/div/div/main/div/div[2]/div[2]/div[1]/div/div[1]/section/div[2]/span/span"")"),"#REF!")</f>
        <v>#REF!</v>
      </c>
    </row>
    <row r="181">
      <c r="A181" s="6" t="s">
        <v>21</v>
      </c>
      <c r="B181" s="18" t="str">
        <f>IFERROR(__xludf.DUMMYFUNCTION("importxml(""https://www.trustpilot.com/review/mannco.store"",""/html/body/div[1]/div/div/main/div/div[2]/div[2]/div[1]/div/div[3]/div[1]/div/div[1]/p[1]"")"),"Loading...")</f>
        <v>Loading...</v>
      </c>
      <c r="C181" s="14" t="str">
        <f>IFERROR(__xludf.DUMMYFUNCTION("importxml(""https://www.trustpilot.com/review/mannco.store"",""/html/body/div[1]/div/div/main/div/div[2]/div[2]/div[1]/div/div[1]/section/div[2]/span/span"")"),"#REF!")</f>
        <v>#REF!</v>
      </c>
    </row>
    <row r="182">
      <c r="A182" s="6" t="s">
        <v>118</v>
      </c>
      <c r="B182" s="26">
        <v>4.2</v>
      </c>
      <c r="C182" s="12">
        <v>932.0</v>
      </c>
    </row>
    <row r="183">
      <c r="A183" s="6" t="s">
        <v>149</v>
      </c>
      <c r="B183" s="25" t="str">
        <f>IFERROR(__xludf.DUMMYFUNCTION("importxml(""https://www.trustpilot.com/review/skin.place"",""/html/body/div[1]/div/div/main/div/div[2]/div[2]/div[1]/div[2]/div[3]/div[1]/div/div[1]/p[1]"")"),"#REF!")</f>
        <v>#REF!</v>
      </c>
      <c r="C183" s="14" t="str">
        <f>IFERROR(__xludf.DUMMYFUNCTION("importxml(""https://www.trustpilot.com/review/skin.place"",""/html/body/div[1]/div/div/main/div/div[2]/div[2]/div[1]/div[2]/div[1]/section/div[2]/span/span"")"),"#REF!")</f>
        <v>#REF!</v>
      </c>
    </row>
    <row r="184">
      <c r="A184" s="6" t="s">
        <v>124</v>
      </c>
      <c r="B184" s="25" t="str">
        <f>IFERROR(__xludf.DUMMYFUNCTION("importxml(""https://www.trustpilot.com/review/sellyourskins.com"",""/html/body/div[1]/div/div/main/div/div[2]/div[2]/div[1]/div/div[3]/div[1]/div/div[1]/p[1]"")"),"#REF!")</f>
        <v>#REF!</v>
      </c>
      <c r="C184" s="18" t="str">
        <f>IFERROR(__xludf.DUMMYFUNCTION("importxml(""https://www.trustpilot.com/review/sellyourskins.com"",""/html/body/div[1]/div/div/main/div/div[2]/div[2]/div[1]/div/div[1]/section/div[2]/span/span"")"),"Loading...")</f>
        <v>Loading...</v>
      </c>
    </row>
    <row r="185">
      <c r="A185" s="6" t="s">
        <v>143</v>
      </c>
      <c r="B185" s="25" t="str">
        <f>IFERROR(__xludf.DUMMYFUNCTION("importxml(""https://www.trustpilot.com/review/waxpeer.com"",""/html/body/div[1]/div/div/main/div/div[2]/div[2]/div[1]/div/div[3]/div[1]/div/div[1]/p[1]"")"),"Loading...")</f>
        <v>Loading...</v>
      </c>
      <c r="C185" s="18" t="str">
        <f>IFERROR(__xludf.DUMMYFUNCTION("importxml(""https://www.trustpilot.com/review/waxpeer.com"",""/html/body/div[1]/div/div/main/div/div[2]/div[2]/div[1]/div/div[1]/section/div[2]/span/span"")"),"#REF!")</f>
        <v>#REF!</v>
      </c>
    </row>
    <row r="186">
      <c r="A186" s="6" t="s">
        <v>231</v>
      </c>
      <c r="B186" s="25" t="str">
        <f>IFERROR(__xludf.DUMMYFUNCTION("importxml(""https://www.trustpilot.com/review/shadowpay.com"",""/html/body/div[1]/div/div/main/div/div[2]/div[2]/div[1]/div/div[3]/div[1]/div/div[1]/p[1]"")"),"#REF!")</f>
        <v>#REF!</v>
      </c>
      <c r="C186" s="18" t="str">
        <f>IFERROR(__xludf.DUMMYFUNCTION("importxml(""https://www.trustpilot.com/review/shadowpay.com"",""/html/body/div[1]/div/div/main/div/div[2]/div[2]/div[1]/div/div[1]/section/div[2]/span/span"")"),"#REF!")</f>
        <v>#REF!</v>
      </c>
    </row>
    <row r="187">
      <c r="A187" s="6" t="s">
        <v>110</v>
      </c>
      <c r="B187" s="25" t="str">
        <f>IFERROR(__xludf.DUMMYFUNCTION("importxml(""https://www.trustpilot.com/review/cs.deals"",""/html/body/div[1]/div/div/main/div/div[2]/div[2]/div[1]/div/div[3]/div[1]/div/div[1]/p[1]"")"),"#REF!")</f>
        <v>#REF!</v>
      </c>
      <c r="C187" s="18" t="str">
        <f>IFERROR(__xludf.DUMMYFUNCTION("importxml(""https://www.trustpilot.com/review/cs.deals"",""/html/body/div[1]/div/div/main/div/div[2]/div[2]/div[1]/div/div[1]/section/div[2]/span/span"")"),"#REF!")</f>
        <v>#REF!</v>
      </c>
    </row>
    <row r="188">
      <c r="A188" s="6" t="s">
        <v>157</v>
      </c>
      <c r="B188" s="25" t="str">
        <f>IFERROR(__xludf.DUMMYFUNCTION("importxml(""https://www.trustpilot.com/review/skins.cash"",""/html/body/div[1]/div/div/main/div/div[2]/div[2]/div[1]/div/div[3]/div[1]/div/div[1]/p[1]"")"),"#REF!")</f>
        <v>#REF!</v>
      </c>
      <c r="C188" s="14" t="str">
        <f>IFERROR(__xludf.DUMMYFUNCTION("importxml(""https://www.trustpilot.com/review/skins.cash"",""/html/body/div[1]/div/div/main/div/div[2]/div[2]/div[1]/div/div[1]/section/div[2]/span/span"")"),"#REF!")</f>
        <v>#REF!</v>
      </c>
    </row>
    <row r="189">
      <c r="A189" s="6" t="s">
        <v>174</v>
      </c>
      <c r="B189" s="25" t="str">
        <f>IFERROR(__xludf.DUMMYFUNCTION("importxml(""https://www.trustpilot.com/review/skincashier.com"",""/html/body/div[1]/div/div/main/div/div[2]/div[2]/div[1]/div/div[3]/div[1]/div/div[1]/p[1]"")"),"#REF!")</f>
        <v>#REF!</v>
      </c>
      <c r="C189" s="14" t="str">
        <f>IFERROR(__xludf.DUMMYFUNCTION("importxml(""https://www.trustpilot.com/review/skincashier.com"",""/html/body/div[1]/div/div/main/div/div[2]/div[2]/div[1]/div/div[1]/section/div[2]/span/span"")"),"#REF!")</f>
        <v>#REF!</v>
      </c>
    </row>
    <row r="190">
      <c r="A190" s="24" t="s">
        <v>284</v>
      </c>
      <c r="B190" s="25" t="str">
        <f>IFERROR(__xludf.DUMMYFUNCTION("importxml(""https://www.trustpilot.com/review/skin.land"",""/html/body/div[1]/div/div/main/div/div[2]/div[2]/div[1]/div[2]/div[3]/div[1]/div/div[1]/p[1]"")"),"#REF!")</f>
        <v>#REF!</v>
      </c>
      <c r="C190" s="14" t="str">
        <f>IFERROR(__xludf.DUMMYFUNCTION("importxml(""https://www.trustpilot.com/review/skin.land"",""/html/body/div[1]/div/div/main/div/div[2]/div[2]/div[1]/div[2]/div[1]/section/div[2]/span/span"")"),"#REF!")</f>
        <v>#REF!</v>
      </c>
    </row>
    <row r="191">
      <c r="A191" s="24" t="s">
        <v>299</v>
      </c>
      <c r="B191" s="25" t="str">
        <f>IFERROR(__xludf.DUMMYFUNCTION("importxml(""https://www.trustpilot.com/review/buff.163.com"",""/html/body/div[1]/div/div/main/div/div[2]/div[2]/div[1]/div/div[3]/div[1]/div/div[1]/p[1]"")"),"#REF!")</f>
        <v>#REF!</v>
      </c>
      <c r="C191" s="18" t="str">
        <f>IFERROR(__xludf.DUMMYFUNCTION("importxml(""https://www.trustpilot.com/review/buff.163.com"",""/html/body/div[1]/div/div/main/div/div[2]/div[2]/div[1]/div/div[1]/section/div[2]/span/span"")"),"#REF!")</f>
        <v>#REF!</v>
      </c>
    </row>
    <row r="192">
      <c r="A192" s="24" t="s">
        <v>247</v>
      </c>
      <c r="B192" s="25" t="str">
        <f>IFERROR(__xludf.DUMMYFUNCTION("importxml(""https://www.trustpilot.com/review/loot.farm"",""/html/body/div[1]/div/div/main/div/div[2]/div[2]/div[1]/div/div[3]/div[1]/div/div[1]/p[1]"")"),"#REF!")</f>
        <v>#REF!</v>
      </c>
      <c r="C192" s="14" t="str">
        <f>IFERROR(__xludf.DUMMYFUNCTION("importxml(""https://www.trustpilot.com/review/loot.farm"",""/html/body/div[1]/div/div/main/div/div[2]/div[2]/div[1]/div/div[1]/section/div[2]/span/span"")"),"#REF!")</f>
        <v>#REF!</v>
      </c>
    </row>
    <row r="193">
      <c r="A193" s="24" t="s">
        <v>256</v>
      </c>
      <c r="B193" s="25" t="str">
        <f>IFERROR(__xludf.DUMMYFUNCTION("importxml(""https://www.trustpilot.com/review/marketplace.tf"",""/html/body/div[1]/div/div/main/div/div[2]/div[2]/div[1]/div/div[3]/div[1]/div/div[1]/p[1]"")"),"#REF!")</f>
        <v>#REF!</v>
      </c>
      <c r="C193" s="14" t="str">
        <f>IFERROR(__xludf.DUMMYFUNCTION("importxml(""https://www.trustpilot.com/review/marketplace.tf"",""/html/body/div[1]/div/div/main/div/div[2]/div[2]/div[1]/div/div[1]/section/div[2]/span/span"")"),"#REF!")</f>
        <v>#REF!</v>
      </c>
    </row>
    <row r="194">
      <c r="A194" s="24" t="s">
        <v>264</v>
      </c>
      <c r="B194" s="25" t="str">
        <f>IFERROR(__xludf.DUMMYFUNCTION("importxml(""https://www.trustpilot.com/review/cs.trade"",""/html/body/div[1]/div/div/main/div/div[2]/div[2]/div[1]/div/div[3]/div[1]/div/div[1]/p[1]"")"),"#REF!")</f>
        <v>#REF!</v>
      </c>
      <c r="C194" s="14" t="str">
        <f>IFERROR(__xludf.DUMMYFUNCTION("importxml(""https://www.trustpilot.com/review/cs.trade"",""/html/body/div[1]/div/div/main/div/div[2]/div[2]/div[1]/div/div[1]/section/div[2]/span/span"")"),"#REF!")</f>
        <v>#REF!</v>
      </c>
    </row>
    <row r="204">
      <c r="A204" s="6" t="s">
        <v>101</v>
      </c>
      <c r="B204" s="7" t="s">
        <v>41</v>
      </c>
      <c r="C204" s="20" t="s">
        <v>103</v>
      </c>
      <c r="D204" s="9" t="s">
        <v>104</v>
      </c>
      <c r="E204" s="9" t="s">
        <v>105</v>
      </c>
      <c r="F204" s="22">
        <v>-0.15</v>
      </c>
      <c r="G204" s="22">
        <v>0.0</v>
      </c>
      <c r="H204" s="22">
        <v>0.0</v>
      </c>
      <c r="I204" s="7" t="s">
        <v>108</v>
      </c>
      <c r="J204" s="17" t="s">
        <v>109</v>
      </c>
      <c r="K204" s="7" t="s">
        <v>53</v>
      </c>
      <c r="L204" s="25">
        <v>3.8</v>
      </c>
      <c r="M204" s="14">
        <v>155.0</v>
      </c>
      <c r="N204" s="19">
        <v>131700.0</v>
      </c>
      <c r="O204" s="20" t="s">
        <v>31</v>
      </c>
      <c r="P204" s="20" t="s">
        <v>59</v>
      </c>
      <c r="Q204" s="10" t="s">
        <v>96</v>
      </c>
      <c r="R204" s="20" t="s">
        <v>111</v>
      </c>
      <c r="S204" s="20" t="s">
        <v>112</v>
      </c>
      <c r="W204" s="7"/>
    </row>
  </sheetData>
  <mergeCells count="18">
    <mergeCell ref="C2:D2"/>
    <mergeCell ref="C8:D8"/>
    <mergeCell ref="C9:D9"/>
    <mergeCell ref="C11:D11"/>
    <mergeCell ref="C12:D12"/>
    <mergeCell ref="C14:D14"/>
    <mergeCell ref="C15:D15"/>
    <mergeCell ref="C39:D39"/>
    <mergeCell ref="C40:D40"/>
    <mergeCell ref="C41:D41"/>
    <mergeCell ref="C44:D44"/>
    <mergeCell ref="C16:D16"/>
    <mergeCell ref="C17:D17"/>
    <mergeCell ref="C23:D23"/>
    <mergeCell ref="C24:D24"/>
    <mergeCell ref="C28:D28"/>
    <mergeCell ref="C32:D32"/>
    <mergeCell ref="C33:D33"/>
  </mergeCells>
  <dataValidations>
    <dataValidation type="list" allowBlank="1" showErrorMessage="1" sqref="N2:N3 O4 N5:N35 O36 N37:N45 O51:O56 O204">
      <formula1>"PayPal,Crypto,Debit/Credit Card,PayPal, Crypto,Paypal, Debit/Credit Card,Crypto, Debit/Credit Card,PayPal, Crypto, Debit/Credit Card"</formula1>
    </dataValidation>
    <dataValidation type="list" allowBlank="1" showErrorMessage="1" sqref="O2:O3 P4 O5:O35 P36 O37:O45 P51:P53 P55:P56 P204">
      <formula1>"PayPal,Crypto,Bank,PayPal, Crypto,Paypal, Bank,Crypto, Bank,PayPal, Crypto, Bank"</formula1>
    </dataValidation>
  </dataValidations>
  <hyperlinks>
    <hyperlink r:id="rId2" ref="A2"/>
    <hyperlink r:id="rId3" ref="I2"/>
    <hyperlink r:id="rId4" ref="A3"/>
    <hyperlink r:id="rId5" ref="I3"/>
    <hyperlink r:id="rId6" ref="A4"/>
    <hyperlink r:id="rId7" ref="J4"/>
    <hyperlink r:id="rId8" ref="A5"/>
    <hyperlink r:id="rId9" ref="I5"/>
    <hyperlink r:id="rId10" ref="A6"/>
    <hyperlink r:id="rId11" ref="I6"/>
    <hyperlink r:id="rId12" ref="A7"/>
    <hyperlink r:id="rId13" ref="I7"/>
    <hyperlink r:id="rId14" ref="A8"/>
    <hyperlink r:id="rId15" ref="I8"/>
    <hyperlink r:id="rId16" ref="A9"/>
    <hyperlink r:id="rId17" ref="I9"/>
    <hyperlink r:id="rId18" ref="A10"/>
    <hyperlink r:id="rId19" ref="I10"/>
    <hyperlink r:id="rId20" ref="A11"/>
    <hyperlink r:id="rId21" ref="I11"/>
    <hyperlink r:id="rId22" ref="A12"/>
    <hyperlink r:id="rId23" ref="I12"/>
    <hyperlink r:id="rId24" ref="A13"/>
    <hyperlink r:id="rId25" ref="I13"/>
    <hyperlink r:id="rId26" ref="A14"/>
    <hyperlink r:id="rId27" ref="I14"/>
    <hyperlink r:id="rId28" ref="A15"/>
    <hyperlink r:id="rId29" ref="I15"/>
    <hyperlink r:id="rId30" ref="A16"/>
    <hyperlink r:id="rId31" ref="I16"/>
    <hyperlink r:id="rId32" ref="A17"/>
    <hyperlink r:id="rId33" ref="I17"/>
    <hyperlink r:id="rId34" ref="A18"/>
    <hyperlink r:id="rId35" ref="I18"/>
    <hyperlink r:id="rId36" ref="A19"/>
    <hyperlink r:id="rId37" ref="I19"/>
    <hyperlink r:id="rId38" ref="A20"/>
    <hyperlink r:id="rId39" ref="I20"/>
    <hyperlink r:id="rId40" ref="A21"/>
    <hyperlink r:id="rId41" ref="I21"/>
    <hyperlink r:id="rId42" ref="A22"/>
    <hyperlink r:id="rId43" ref="I22"/>
    <hyperlink r:id="rId44" ref="A23"/>
    <hyperlink r:id="rId45" ref="I23"/>
    <hyperlink r:id="rId46" ref="A24"/>
    <hyperlink r:id="rId47" ref="I24"/>
    <hyperlink r:id="rId48" ref="A25"/>
    <hyperlink r:id="rId49" ref="I25"/>
    <hyperlink r:id="rId50" ref="A26"/>
    <hyperlink r:id="rId51" ref="I26"/>
    <hyperlink r:id="rId52" ref="A27"/>
    <hyperlink r:id="rId53" ref="I27"/>
    <hyperlink r:id="rId54" ref="A28"/>
    <hyperlink r:id="rId55" ref="A29"/>
    <hyperlink r:id="rId56" ref="I29"/>
    <hyperlink r:id="rId57" ref="A30"/>
    <hyperlink r:id="rId58" ref="A31"/>
    <hyperlink r:id="rId59" ref="A32"/>
    <hyperlink r:id="rId60" ref="A33"/>
    <hyperlink r:id="rId61" ref="A34"/>
    <hyperlink r:id="rId62" ref="A35"/>
    <hyperlink r:id="rId63" ref="A36"/>
    <hyperlink r:id="rId64" ref="A37"/>
    <hyperlink r:id="rId65" ref="A38"/>
    <hyperlink r:id="rId66" ref="A39"/>
    <hyperlink r:id="rId67" ref="A40"/>
    <hyperlink r:id="rId68" ref="A41"/>
    <hyperlink r:id="rId69" ref="A42"/>
    <hyperlink r:id="rId70" ref="A43"/>
    <hyperlink r:id="rId71" ref="A44"/>
    <hyperlink r:id="rId72" ref="A45"/>
    <hyperlink r:id="rId73" ref="I45"/>
    <hyperlink r:id="rId74" ref="C50"/>
    <hyperlink r:id="rId75" ref="A51"/>
    <hyperlink r:id="rId76" ref="J51"/>
    <hyperlink r:id="rId77" ref="A52"/>
    <hyperlink r:id="rId78" ref="A53"/>
    <hyperlink r:id="rId79" ref="J53"/>
    <hyperlink r:id="rId80" ref="A54"/>
    <hyperlink r:id="rId81" ref="A55"/>
    <hyperlink r:id="rId82" ref="A56"/>
    <hyperlink r:id="rId83" ref="J56"/>
    <hyperlink r:id="rId84" ref="A60"/>
    <hyperlink r:id="rId85" ref="A61"/>
    <hyperlink r:id="rId86" ref="A62"/>
    <hyperlink r:id="rId87" ref="A63"/>
    <hyperlink r:id="rId88" ref="A64"/>
    <hyperlink r:id="rId89" ref="A65"/>
    <hyperlink r:id="rId90" ref="A66"/>
    <hyperlink r:id="rId91" ref="A67"/>
    <hyperlink r:id="rId92" ref="A68"/>
    <hyperlink r:id="rId93" ref="A69"/>
    <hyperlink r:id="rId94" ref="A70"/>
    <hyperlink r:id="rId95" ref="A71"/>
    <hyperlink r:id="rId96" ref="A72"/>
    <hyperlink r:id="rId97" ref="A73"/>
    <hyperlink r:id="rId98" ref="A74"/>
    <hyperlink r:id="rId99" ref="A75"/>
    <hyperlink r:id="rId100" ref="A76"/>
    <hyperlink r:id="rId101" ref="A77"/>
    <hyperlink r:id="rId102" ref="A78"/>
    <hyperlink r:id="rId103" ref="A79"/>
    <hyperlink r:id="rId104" ref="A80"/>
    <hyperlink r:id="rId105" ref="A81"/>
    <hyperlink r:id="rId106" ref="A82"/>
    <hyperlink r:id="rId107" ref="A83"/>
    <hyperlink r:id="rId108" ref="A84"/>
    <hyperlink r:id="rId109" ref="A85"/>
    <hyperlink r:id="rId110" ref="A86"/>
    <hyperlink r:id="rId111" ref="A87"/>
    <hyperlink r:id="rId112" ref="A88"/>
    <hyperlink r:id="rId113" ref="A89"/>
    <hyperlink r:id="rId114" ref="A90"/>
    <hyperlink r:id="rId115" ref="A91"/>
    <hyperlink r:id="rId116" ref="A92"/>
    <hyperlink r:id="rId117" ref="A93"/>
    <hyperlink r:id="rId118" ref="A94"/>
    <hyperlink r:id="rId119" ref="A95"/>
    <hyperlink r:id="rId120" ref="A96"/>
    <hyperlink r:id="rId121" ref="A97"/>
    <hyperlink r:id="rId122" ref="A98"/>
    <hyperlink r:id="rId123" ref="A99"/>
    <hyperlink r:id="rId124" ref="A100"/>
    <hyperlink r:id="rId125" ref="A101"/>
    <hyperlink r:id="rId126" ref="A102"/>
    <hyperlink r:id="rId127" ref="A103"/>
    <hyperlink r:id="rId128" ref="A104"/>
    <hyperlink r:id="rId129" ref="A105"/>
    <hyperlink r:id="rId130" ref="A106"/>
    <hyperlink r:id="rId131" ref="A107"/>
    <hyperlink r:id="rId132" ref="A110"/>
    <hyperlink r:id="rId133" ref="A111"/>
    <hyperlink r:id="rId134" ref="A112"/>
    <hyperlink r:id="rId135" ref="A115"/>
    <hyperlink r:id="rId136" ref="A116"/>
    <hyperlink r:id="rId137" ref="A117"/>
    <hyperlink r:id="rId138" ref="A118"/>
    <hyperlink r:id="rId139" ref="A119"/>
    <hyperlink r:id="rId140" ref="A120"/>
    <hyperlink r:id="rId141" ref="A121"/>
    <hyperlink r:id="rId142" ref="A122"/>
    <hyperlink r:id="rId143" ref="A123"/>
    <hyperlink r:id="rId144" ref="A124"/>
    <hyperlink r:id="rId145" ref="A125"/>
    <hyperlink r:id="rId146" ref="A126"/>
    <hyperlink r:id="rId147" ref="A127"/>
    <hyperlink r:id="rId148" ref="A128"/>
    <hyperlink r:id="rId149" ref="A129"/>
    <hyperlink r:id="rId150" ref="A130"/>
    <hyperlink r:id="rId151" ref="A131"/>
    <hyperlink r:id="rId152" ref="A132"/>
    <hyperlink r:id="rId153" ref="A133"/>
    <hyperlink r:id="rId154" ref="A134"/>
    <hyperlink r:id="rId155" ref="A135"/>
    <hyperlink r:id="rId156" ref="A136"/>
    <hyperlink r:id="rId157" ref="A137"/>
    <hyperlink r:id="rId158" ref="E138"/>
    <hyperlink r:id="rId159" ref="A141"/>
    <hyperlink r:id="rId160" ref="A142"/>
    <hyperlink r:id="rId161" ref="A143"/>
    <hyperlink r:id="rId162" ref="A144"/>
    <hyperlink r:id="rId163" ref="A145"/>
    <hyperlink r:id="rId164" ref="A146"/>
    <hyperlink r:id="rId165" ref="A147"/>
    <hyperlink r:id="rId166" ref="A148"/>
    <hyperlink r:id="rId167" ref="A149"/>
    <hyperlink r:id="rId168" ref="A150"/>
    <hyperlink r:id="rId169" ref="A151"/>
    <hyperlink r:id="rId170" ref="A152"/>
    <hyperlink r:id="rId171" ref="A153"/>
    <hyperlink r:id="rId172" ref="A154"/>
    <hyperlink r:id="rId173" ref="A155"/>
    <hyperlink r:id="rId174" ref="A156"/>
    <hyperlink r:id="rId175" ref="A157"/>
    <hyperlink r:id="rId176" ref="A158"/>
    <hyperlink r:id="rId177" ref="A159"/>
    <hyperlink r:id="rId178" ref="A160"/>
    <hyperlink r:id="rId179" ref="A161"/>
    <hyperlink r:id="rId180" ref="A162"/>
    <hyperlink r:id="rId181" ref="A163"/>
    <hyperlink r:id="rId182" ref="A164"/>
    <hyperlink r:id="rId183" ref="A165"/>
    <hyperlink r:id="rId184" ref="A166"/>
    <hyperlink r:id="rId185" ref="A167"/>
    <hyperlink r:id="rId186" ref="A177"/>
    <hyperlink r:id="rId187" ref="A178"/>
    <hyperlink r:id="rId188" ref="A179"/>
    <hyperlink r:id="rId189" ref="A180"/>
    <hyperlink r:id="rId190" ref="A181"/>
    <hyperlink r:id="rId191" ref="A182"/>
    <hyperlink r:id="rId192" ref="A183"/>
    <hyperlink r:id="rId193" ref="A184"/>
    <hyperlink r:id="rId194" ref="A185"/>
    <hyperlink r:id="rId195" ref="A186"/>
    <hyperlink r:id="rId196" ref="A187"/>
    <hyperlink r:id="rId197" ref="A188"/>
    <hyperlink r:id="rId198" ref="A189"/>
    <hyperlink r:id="rId199" ref="A190"/>
    <hyperlink r:id="rId200" ref="A191"/>
    <hyperlink r:id="rId201" ref="A192"/>
    <hyperlink r:id="rId202" ref="A193"/>
    <hyperlink r:id="rId203" ref="A194"/>
    <hyperlink r:id="rId204" ref="A204"/>
    <hyperlink r:id="rId205" ref="J204"/>
  </hyperlinks>
  <printOptions gridLines="1" horizontalCentered="1"/>
  <pageMargins bottom="0.75" footer="0.0" header="0.0" left="0.7" right="0.7" top="0.75"/>
  <pageSetup fitToHeight="0" cellComments="atEnd" orientation="landscape" pageOrder="overThenDown"/>
  <drawing r:id="rId206"/>
  <legacyDrawing r:id="rId20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22.5"/>
    <col customWidth="1" min="3" max="3" width="22.13"/>
    <col customWidth="1" min="4" max="4" width="19.88"/>
    <col customWidth="1" min="5" max="5" width="18.13"/>
    <col customWidth="1" min="6" max="6" width="19.88"/>
  </cols>
  <sheetData>
    <row r="1">
      <c r="A1" s="1" t="s">
        <v>0</v>
      </c>
      <c r="B1" s="1" t="s">
        <v>389</v>
      </c>
      <c r="C1" s="1" t="s">
        <v>391</v>
      </c>
      <c r="D1" s="1" t="s">
        <v>393</v>
      </c>
      <c r="E1" s="1" t="s">
        <v>394</v>
      </c>
      <c r="F1" s="1" t="s">
        <v>395</v>
      </c>
    </row>
    <row r="2">
      <c r="A2" s="24" t="s">
        <v>155</v>
      </c>
      <c r="B2" s="7" t="s">
        <v>397</v>
      </c>
      <c r="C2" s="7" t="s">
        <v>398</v>
      </c>
      <c r="D2" s="7" t="s">
        <v>399</v>
      </c>
      <c r="E2" s="20" t="s">
        <v>400</v>
      </c>
      <c r="F2" s="20" t="s">
        <v>401</v>
      </c>
    </row>
    <row r="3">
      <c r="A3" s="24" t="s">
        <v>121</v>
      </c>
      <c r="B3" s="7" t="s">
        <v>404</v>
      </c>
      <c r="C3" s="7" t="s">
        <v>405</v>
      </c>
      <c r="D3" s="7" t="s">
        <v>398</v>
      </c>
      <c r="E3" s="7" t="s">
        <v>406</v>
      </c>
      <c r="F3" s="20" t="s">
        <v>407</v>
      </c>
    </row>
    <row r="4">
      <c r="A4" s="24" t="s">
        <v>101</v>
      </c>
      <c r="B4" s="7" t="s">
        <v>414</v>
      </c>
      <c r="C4" s="7" t="s">
        <v>415</v>
      </c>
      <c r="D4" s="20" t="s">
        <v>416</v>
      </c>
      <c r="E4" s="7" t="s">
        <v>417</v>
      </c>
      <c r="F4" s="7" t="s">
        <v>418</v>
      </c>
    </row>
    <row r="5">
      <c r="A5" s="24" t="s">
        <v>19</v>
      </c>
      <c r="B5" s="7" t="s">
        <v>424</v>
      </c>
      <c r="C5" s="7" t="s">
        <v>397</v>
      </c>
      <c r="D5" s="7" t="s">
        <v>426</v>
      </c>
      <c r="E5" s="7" t="s">
        <v>427</v>
      </c>
      <c r="F5" s="7" t="s">
        <v>428</v>
      </c>
    </row>
    <row r="6">
      <c r="A6" s="24" t="s">
        <v>392</v>
      </c>
      <c r="B6" s="7" t="s">
        <v>431</v>
      </c>
      <c r="C6" s="20" t="s">
        <v>432</v>
      </c>
      <c r="D6" s="7" t="s">
        <v>404</v>
      </c>
      <c r="E6" s="7" t="s">
        <v>433</v>
      </c>
      <c r="F6" s="20" t="s">
        <v>434</v>
      </c>
    </row>
    <row r="7">
      <c r="A7" s="24" t="s">
        <v>36</v>
      </c>
      <c r="B7" s="7" t="s">
        <v>438</v>
      </c>
      <c r="C7" s="7" t="s">
        <v>439</v>
      </c>
      <c r="D7" s="7" t="s">
        <v>440</v>
      </c>
      <c r="E7" s="7" t="s">
        <v>441</v>
      </c>
      <c r="F7" s="7" t="s">
        <v>442</v>
      </c>
    </row>
    <row r="8">
      <c r="A8" s="24" t="s">
        <v>22</v>
      </c>
      <c r="B8" s="7" t="s">
        <v>448</v>
      </c>
      <c r="C8" s="7" t="s">
        <v>449</v>
      </c>
      <c r="D8" s="7" t="s">
        <v>450</v>
      </c>
      <c r="E8" s="7" t="s">
        <v>451</v>
      </c>
      <c r="F8" s="7" t="s">
        <v>453</v>
      </c>
    </row>
    <row r="9">
      <c r="A9" s="24" t="s">
        <v>65</v>
      </c>
      <c r="B9" s="7" t="s">
        <v>458</v>
      </c>
      <c r="C9" s="7" t="s">
        <v>459</v>
      </c>
      <c r="D9" s="7" t="s">
        <v>460</v>
      </c>
      <c r="E9" s="7" t="s">
        <v>461</v>
      </c>
      <c r="F9" s="7" t="s">
        <v>441</v>
      </c>
    </row>
    <row r="10">
      <c r="A10" s="24" t="s">
        <v>20</v>
      </c>
      <c r="B10" s="7" t="s">
        <v>463</v>
      </c>
      <c r="C10" s="20" t="s">
        <v>464</v>
      </c>
      <c r="D10" s="7" t="s">
        <v>398</v>
      </c>
      <c r="E10" s="7" t="s">
        <v>399</v>
      </c>
      <c r="F10" s="7" t="s">
        <v>467</v>
      </c>
    </row>
    <row r="11">
      <c r="A11" s="24" t="s">
        <v>55</v>
      </c>
      <c r="B11" s="7" t="s">
        <v>468</v>
      </c>
      <c r="C11" s="7" t="s">
        <v>470</v>
      </c>
      <c r="D11" s="7" t="s">
        <v>397</v>
      </c>
      <c r="E11" s="7" t="s">
        <v>472</v>
      </c>
      <c r="F11" s="20" t="s">
        <v>473</v>
      </c>
    </row>
    <row r="12">
      <c r="A12" s="24" t="s">
        <v>80</v>
      </c>
      <c r="B12" s="7" t="s">
        <v>414</v>
      </c>
      <c r="C12" s="20" t="s">
        <v>476</v>
      </c>
      <c r="D12" s="7" t="s">
        <v>477</v>
      </c>
      <c r="E12" s="7" t="s">
        <v>399</v>
      </c>
      <c r="F12" s="20" t="s">
        <v>416</v>
      </c>
    </row>
    <row r="13">
      <c r="A13" s="24" t="s">
        <v>149</v>
      </c>
      <c r="B13" s="7" t="s">
        <v>484</v>
      </c>
      <c r="C13" s="7" t="s">
        <v>485</v>
      </c>
      <c r="D13" s="7" t="s">
        <v>486</v>
      </c>
      <c r="E13" s="20" t="s">
        <v>488</v>
      </c>
      <c r="F13" s="20" t="s">
        <v>460</v>
      </c>
    </row>
    <row r="14">
      <c r="A14" s="24" t="s">
        <v>319</v>
      </c>
      <c r="B14" s="7" t="s">
        <v>492</v>
      </c>
      <c r="C14" s="20" t="s">
        <v>493</v>
      </c>
      <c r="D14" s="7" t="s">
        <v>468</v>
      </c>
      <c r="E14" s="7" t="s">
        <v>494</v>
      </c>
      <c r="F14" s="7" t="s">
        <v>495</v>
      </c>
    </row>
    <row r="15">
      <c r="A15" s="24" t="s">
        <v>174</v>
      </c>
      <c r="B15" s="20" t="s">
        <v>503</v>
      </c>
      <c r="C15" s="7" t="s">
        <v>504</v>
      </c>
      <c r="D15" s="20" t="s">
        <v>505</v>
      </c>
      <c r="E15" s="7" t="s">
        <v>506</v>
      </c>
      <c r="F15" s="20" t="s">
        <v>507</v>
      </c>
    </row>
    <row r="16">
      <c r="A16" s="24" t="s">
        <v>124</v>
      </c>
      <c r="B16" s="7" t="s">
        <v>510</v>
      </c>
      <c r="C16" s="7" t="s">
        <v>511</v>
      </c>
      <c r="D16" s="7" t="s">
        <v>512</v>
      </c>
      <c r="E16" s="7" t="s">
        <v>513</v>
      </c>
      <c r="F16" s="7" t="s">
        <v>514</v>
      </c>
    </row>
    <row r="17">
      <c r="A17" s="24" t="s">
        <v>160</v>
      </c>
      <c r="B17" s="7" t="s">
        <v>520</v>
      </c>
      <c r="C17" s="7" t="s">
        <v>521</v>
      </c>
      <c r="D17" s="7" t="s">
        <v>522</v>
      </c>
      <c r="E17" s="7" t="s">
        <v>523</v>
      </c>
      <c r="F17" s="20" t="s">
        <v>524</v>
      </c>
    </row>
    <row r="18">
      <c r="A18" s="24" t="s">
        <v>525</v>
      </c>
      <c r="B18" s="7" t="s">
        <v>531</v>
      </c>
      <c r="C18" s="20" t="s">
        <v>532</v>
      </c>
      <c r="D18" s="7" t="s">
        <v>522</v>
      </c>
      <c r="E18" s="20" t="s">
        <v>535</v>
      </c>
      <c r="F18" s="7" t="s">
        <v>537</v>
      </c>
    </row>
    <row r="19">
      <c r="A19" s="24" t="s">
        <v>236</v>
      </c>
      <c r="B19" s="7" t="s">
        <v>540</v>
      </c>
      <c r="C19" s="7" t="s">
        <v>541</v>
      </c>
      <c r="D19" s="7" t="s">
        <v>507</v>
      </c>
      <c r="E19" s="20" t="s">
        <v>542</v>
      </c>
      <c r="F19" s="20" t="s">
        <v>417</v>
      </c>
    </row>
    <row r="20">
      <c r="A20" s="24" t="s">
        <v>259</v>
      </c>
      <c r="B20" s="20" t="s">
        <v>545</v>
      </c>
      <c r="C20" s="7" t="s">
        <v>404</v>
      </c>
      <c r="D20" s="20" t="s">
        <v>547</v>
      </c>
      <c r="E20" s="20" t="s">
        <v>406</v>
      </c>
      <c r="F20" s="7" t="s">
        <v>477</v>
      </c>
    </row>
    <row r="21">
      <c r="A21" s="24" t="s">
        <v>21</v>
      </c>
      <c r="B21" s="7" t="s">
        <v>549</v>
      </c>
      <c r="C21" s="7" t="s">
        <v>552</v>
      </c>
      <c r="D21" s="20" t="s">
        <v>553</v>
      </c>
      <c r="E21" s="7" t="s">
        <v>554</v>
      </c>
      <c r="F21" s="20" t="s">
        <v>555</v>
      </c>
    </row>
    <row r="22">
      <c r="A22" s="6" t="s">
        <v>143</v>
      </c>
      <c r="B22" s="7" t="s">
        <v>557</v>
      </c>
      <c r="C22" s="7" t="s">
        <v>558</v>
      </c>
      <c r="D22" s="7" t="s">
        <v>459</v>
      </c>
      <c r="E22" s="20" t="s">
        <v>406</v>
      </c>
      <c r="F22" s="20" t="s">
        <v>559</v>
      </c>
    </row>
    <row r="23">
      <c r="A23" s="24" t="s">
        <v>560</v>
      </c>
      <c r="B23" s="7" t="s">
        <v>397</v>
      </c>
      <c r="C23" s="7" t="s">
        <v>398</v>
      </c>
      <c r="D23" s="7" t="s">
        <v>567</v>
      </c>
      <c r="E23" s="20" t="s">
        <v>554</v>
      </c>
      <c r="F23" s="20" t="s">
        <v>416</v>
      </c>
    </row>
    <row r="24">
      <c r="A24" s="24" t="s">
        <v>231</v>
      </c>
      <c r="B24" s="7" t="s">
        <v>568</v>
      </c>
      <c r="C24" s="7" t="s">
        <v>569</v>
      </c>
      <c r="D24" s="7" t="s">
        <v>558</v>
      </c>
      <c r="E24" s="7" t="s">
        <v>572</v>
      </c>
      <c r="F24" s="20" t="s">
        <v>488</v>
      </c>
    </row>
    <row r="25">
      <c r="A25" s="24" t="s">
        <v>110</v>
      </c>
      <c r="B25" s="7" t="s">
        <v>578</v>
      </c>
      <c r="C25" s="7" t="s">
        <v>397</v>
      </c>
      <c r="D25" s="7" t="s">
        <v>495</v>
      </c>
      <c r="E25" s="7" t="s">
        <v>579</v>
      </c>
      <c r="F25" s="20" t="s">
        <v>580</v>
      </c>
    </row>
    <row r="26">
      <c r="A26" s="24" t="s">
        <v>157</v>
      </c>
      <c r="B26" s="7" t="s">
        <v>569</v>
      </c>
      <c r="C26" s="7" t="s">
        <v>540</v>
      </c>
      <c r="D26" s="7" t="s">
        <v>553</v>
      </c>
      <c r="E26" s="7" t="s">
        <v>464</v>
      </c>
      <c r="F26" s="7" t="s">
        <v>581</v>
      </c>
    </row>
    <row r="27">
      <c r="A27" s="24" t="s">
        <v>352</v>
      </c>
      <c r="B27" s="7" t="s">
        <v>584</v>
      </c>
      <c r="C27" s="7" t="s">
        <v>485</v>
      </c>
      <c r="D27" s="7" t="s">
        <v>585</v>
      </c>
      <c r="E27" s="20" t="s">
        <v>586</v>
      </c>
      <c r="F27" s="20" t="s">
        <v>587</v>
      </c>
    </row>
    <row r="28">
      <c r="A28" s="24" t="s">
        <v>118</v>
      </c>
      <c r="B28" s="7" t="s">
        <v>588</v>
      </c>
      <c r="C28" s="7" t="s">
        <v>589</v>
      </c>
      <c r="D28" s="7" t="s">
        <v>590</v>
      </c>
      <c r="E28" s="7" t="s">
        <v>592</v>
      </c>
      <c r="F28" s="7" t="s">
        <v>593</v>
      </c>
    </row>
    <row r="29">
      <c r="A29" s="6" t="s">
        <v>375</v>
      </c>
      <c r="B29" s="7" t="s">
        <v>599</v>
      </c>
      <c r="C29" s="20" t="s">
        <v>600</v>
      </c>
      <c r="D29" s="7" t="s">
        <v>494</v>
      </c>
      <c r="E29" s="7" t="s">
        <v>540</v>
      </c>
      <c r="F29" s="20" t="s">
        <v>559</v>
      </c>
    </row>
    <row r="30">
      <c r="A30" s="24" t="s">
        <v>384</v>
      </c>
      <c r="B30" s="20" t="s">
        <v>603</v>
      </c>
      <c r="C30" s="20" t="s">
        <v>604</v>
      </c>
      <c r="D30" s="7" t="s">
        <v>605</v>
      </c>
      <c r="E30" s="10"/>
      <c r="F30" s="10"/>
    </row>
    <row r="31">
      <c r="A31" s="24" t="s">
        <v>304</v>
      </c>
      <c r="B31" s="20" t="s">
        <v>608</v>
      </c>
      <c r="C31" s="7" t="s">
        <v>540</v>
      </c>
      <c r="D31" s="20" t="s">
        <v>609</v>
      </c>
      <c r="E31" s="20" t="s">
        <v>542</v>
      </c>
      <c r="F31" s="7" t="s">
        <v>610</v>
      </c>
    </row>
    <row r="32">
      <c r="A32" s="24" t="s">
        <v>281</v>
      </c>
      <c r="B32" s="7" t="s">
        <v>611</v>
      </c>
      <c r="C32" s="7" t="s">
        <v>613</v>
      </c>
      <c r="D32" s="7" t="s">
        <v>464</v>
      </c>
      <c r="E32" s="7" t="s">
        <v>554</v>
      </c>
      <c r="F32" s="7" t="s">
        <v>522</v>
      </c>
    </row>
    <row r="33">
      <c r="A33" s="24" t="s">
        <v>411</v>
      </c>
      <c r="B33" s="7" t="s">
        <v>616</v>
      </c>
      <c r="C33" s="7" t="s">
        <v>405</v>
      </c>
      <c r="D33" s="7" t="s">
        <v>414</v>
      </c>
      <c r="E33" s="20" t="s">
        <v>619</v>
      </c>
      <c r="F33" s="7" t="s">
        <v>399</v>
      </c>
    </row>
    <row r="34">
      <c r="A34" s="24" t="s">
        <v>430</v>
      </c>
      <c r="B34" s="7" t="s">
        <v>621</v>
      </c>
      <c r="C34" s="7" t="s">
        <v>439</v>
      </c>
      <c r="D34" s="7" t="s">
        <v>622</v>
      </c>
      <c r="E34" s="20" t="s">
        <v>623</v>
      </c>
      <c r="F34" s="7" t="s">
        <v>625</v>
      </c>
    </row>
    <row r="35">
      <c r="A35" s="24" t="s">
        <v>226</v>
      </c>
      <c r="B35" s="7" t="s">
        <v>626</v>
      </c>
      <c r="C35" s="7" t="s">
        <v>627</v>
      </c>
      <c r="D35" s="7" t="s">
        <v>628</v>
      </c>
      <c r="E35" s="7" t="s">
        <v>629</v>
      </c>
      <c r="F35" s="7" t="s">
        <v>630</v>
      </c>
    </row>
    <row r="36">
      <c r="A36" s="24" t="s">
        <v>632</v>
      </c>
      <c r="B36" s="7" t="s">
        <v>634</v>
      </c>
      <c r="C36" s="7" t="s">
        <v>414</v>
      </c>
      <c r="D36" s="7" t="s">
        <v>635</v>
      </c>
      <c r="E36" s="7" t="s">
        <v>427</v>
      </c>
      <c r="F36" s="7" t="s">
        <v>637</v>
      </c>
    </row>
    <row r="37">
      <c r="A37" s="24" t="s">
        <v>284</v>
      </c>
      <c r="B37" s="7" t="s">
        <v>639</v>
      </c>
      <c r="C37" s="7" t="s">
        <v>426</v>
      </c>
      <c r="D37" s="7" t="s">
        <v>504</v>
      </c>
      <c r="E37" s="7" t="s">
        <v>453</v>
      </c>
      <c r="F37" s="20" t="s">
        <v>641</v>
      </c>
    </row>
    <row r="38">
      <c r="A38" s="24" t="s">
        <v>299</v>
      </c>
      <c r="B38" s="7" t="s">
        <v>642</v>
      </c>
      <c r="C38" s="7" t="s">
        <v>643</v>
      </c>
      <c r="D38" s="7" t="s">
        <v>504</v>
      </c>
      <c r="E38" s="20" t="s">
        <v>644</v>
      </c>
      <c r="F38" s="7" t="s">
        <v>645</v>
      </c>
    </row>
    <row r="39">
      <c r="A39" s="24" t="s">
        <v>264</v>
      </c>
      <c r="B39" s="7" t="s">
        <v>540</v>
      </c>
      <c r="C39" s="7" t="s">
        <v>646</v>
      </c>
      <c r="D39" s="7" t="s">
        <v>647</v>
      </c>
      <c r="E39" s="20" t="s">
        <v>507</v>
      </c>
      <c r="F39" s="20" t="s">
        <v>542</v>
      </c>
    </row>
    <row r="40">
      <c r="A40" s="24" t="s">
        <v>247</v>
      </c>
      <c r="B40" s="7" t="s">
        <v>650</v>
      </c>
      <c r="C40" s="7" t="s">
        <v>652</v>
      </c>
      <c r="D40" s="7" t="s">
        <v>653</v>
      </c>
      <c r="E40" s="7" t="s">
        <v>507</v>
      </c>
      <c r="F40" s="20" t="s">
        <v>654</v>
      </c>
    </row>
    <row r="41">
      <c r="A41" s="24" t="s">
        <v>471</v>
      </c>
      <c r="B41" s="7" t="s">
        <v>655</v>
      </c>
      <c r="C41" s="7" t="s">
        <v>656</v>
      </c>
      <c r="D41" s="20" t="s">
        <v>416</v>
      </c>
      <c r="E41" s="20" t="s">
        <v>401</v>
      </c>
      <c r="F41" s="7" t="s">
        <v>439</v>
      </c>
    </row>
    <row r="42">
      <c r="A42" s="24" t="s">
        <v>367</v>
      </c>
      <c r="B42" s="7" t="s">
        <v>397</v>
      </c>
      <c r="C42" s="20" t="s">
        <v>660</v>
      </c>
      <c r="D42" s="7" t="s">
        <v>418</v>
      </c>
      <c r="E42" s="20" t="s">
        <v>542</v>
      </c>
      <c r="F42" s="7" t="s">
        <v>647</v>
      </c>
    </row>
    <row r="43">
      <c r="A43" s="24" t="s">
        <v>487</v>
      </c>
      <c r="B43" s="7" t="s">
        <v>661</v>
      </c>
      <c r="C43" s="7" t="s">
        <v>504</v>
      </c>
      <c r="D43" s="7" t="s">
        <v>417</v>
      </c>
      <c r="E43" s="20" t="s">
        <v>507</v>
      </c>
      <c r="F43" s="20" t="s">
        <v>663</v>
      </c>
    </row>
    <row r="44">
      <c r="A44" s="24" t="s">
        <v>193</v>
      </c>
      <c r="B44" s="20" t="s">
        <v>668</v>
      </c>
      <c r="C44" s="7" t="s">
        <v>414</v>
      </c>
      <c r="D44" s="7" t="s">
        <v>434</v>
      </c>
      <c r="E44" s="7" t="s">
        <v>669</v>
      </c>
      <c r="F44" s="7" t="s">
        <v>670</v>
      </c>
    </row>
    <row r="45">
      <c r="A45" s="24" t="s">
        <v>671</v>
      </c>
      <c r="B45" s="7" t="s">
        <v>672</v>
      </c>
      <c r="C45" s="7" t="s">
        <v>673</v>
      </c>
      <c r="D45" s="10"/>
      <c r="E45" s="10"/>
      <c r="F45" s="10"/>
    </row>
    <row r="46">
      <c r="A46" s="24" t="s">
        <v>256</v>
      </c>
      <c r="B46" s="7" t="s">
        <v>675</v>
      </c>
      <c r="C46" s="7" t="s">
        <v>676</v>
      </c>
      <c r="D46" s="7" t="s">
        <v>477</v>
      </c>
      <c r="E46" s="7" t="s">
        <v>537</v>
      </c>
      <c r="F46" s="7" t="s">
        <v>677</v>
      </c>
    </row>
    <row r="47">
      <c r="A47" s="24" t="s">
        <v>277</v>
      </c>
      <c r="B47" s="7" t="s">
        <v>604</v>
      </c>
      <c r="C47" s="7" t="s">
        <v>678</v>
      </c>
      <c r="D47" s="7" t="s">
        <v>416</v>
      </c>
      <c r="E47" s="20" t="s">
        <v>681</v>
      </c>
      <c r="F47" s="20" t="s">
        <v>682</v>
      </c>
    </row>
    <row r="48">
      <c r="A48" s="24" t="s">
        <v>282</v>
      </c>
      <c r="B48" s="7" t="s">
        <v>684</v>
      </c>
      <c r="C48" s="7" t="s">
        <v>685</v>
      </c>
      <c r="D48" s="20" t="s">
        <v>464</v>
      </c>
      <c r="E48" s="7" t="s">
        <v>686</v>
      </c>
      <c r="F48" s="20" t="s">
        <v>688</v>
      </c>
    </row>
    <row r="49">
      <c r="A49" s="24" t="s">
        <v>292</v>
      </c>
      <c r="B49" s="7" t="s">
        <v>691</v>
      </c>
      <c r="C49" s="7" t="s">
        <v>692</v>
      </c>
      <c r="D49" s="7" t="s">
        <v>628</v>
      </c>
      <c r="E49" s="7" t="s">
        <v>693</v>
      </c>
      <c r="F49" s="7" t="s">
        <v>524</v>
      </c>
    </row>
    <row r="50">
      <c r="A50" s="24" t="s">
        <v>300</v>
      </c>
      <c r="B50" s="7" t="s">
        <v>695</v>
      </c>
      <c r="C50" s="7" t="s">
        <v>397</v>
      </c>
      <c r="D50" s="7" t="s">
        <v>434</v>
      </c>
      <c r="E50" s="20" t="s">
        <v>464</v>
      </c>
      <c r="F50" s="7" t="s">
        <v>676</v>
      </c>
    </row>
    <row r="51">
      <c r="A51" s="24" t="s">
        <v>307</v>
      </c>
      <c r="B51" s="20" t="s">
        <v>696</v>
      </c>
      <c r="C51" s="7" t="s">
        <v>697</v>
      </c>
      <c r="D51" s="7" t="s">
        <v>504</v>
      </c>
      <c r="E51" s="20" t="s">
        <v>635</v>
      </c>
      <c r="F51" s="7" t="s">
        <v>453</v>
      </c>
    </row>
    <row r="52">
      <c r="A52" s="24" t="s">
        <v>314</v>
      </c>
      <c r="B52" s="7" t="s">
        <v>699</v>
      </c>
      <c r="C52" s="7" t="s">
        <v>700</v>
      </c>
      <c r="D52" s="7" t="s">
        <v>701</v>
      </c>
      <c r="E52" s="20" t="s">
        <v>702</v>
      </c>
      <c r="F52" s="20" t="s">
        <v>459</v>
      </c>
    </row>
    <row r="53">
      <c r="A53" s="24" t="s">
        <v>317</v>
      </c>
      <c r="B53" s="7" t="s">
        <v>704</v>
      </c>
      <c r="C53" s="7" t="s">
        <v>643</v>
      </c>
      <c r="D53" s="20" t="s">
        <v>619</v>
      </c>
      <c r="E53" s="7" t="s">
        <v>507</v>
      </c>
      <c r="F53" s="7" t="s">
        <v>706</v>
      </c>
    </row>
    <row r="54">
      <c r="A54" s="24" t="s">
        <v>321</v>
      </c>
      <c r="B54" s="7" t="s">
        <v>707</v>
      </c>
      <c r="C54" s="7" t="s">
        <v>708</v>
      </c>
      <c r="D54" s="10"/>
      <c r="F54" s="10"/>
    </row>
    <row r="55">
      <c r="A55" s="24" t="s">
        <v>328</v>
      </c>
      <c r="B55" s="7" t="s">
        <v>710</v>
      </c>
      <c r="C55" s="7" t="s">
        <v>711</v>
      </c>
      <c r="F55" s="10"/>
    </row>
    <row r="56">
      <c r="A56" s="24" t="s">
        <v>335</v>
      </c>
      <c r="B56" s="10" t="s">
        <v>713</v>
      </c>
      <c r="C56" s="10"/>
      <c r="D56" s="10"/>
      <c r="E56" s="10"/>
      <c r="F56" s="10"/>
    </row>
    <row r="57">
      <c r="A57" s="34" t="s">
        <v>363</v>
      </c>
      <c r="B57" s="20" t="s">
        <v>714</v>
      </c>
      <c r="C57" s="20" t="s">
        <v>716</v>
      </c>
      <c r="D57" s="20" t="s">
        <v>428</v>
      </c>
      <c r="E57" s="20" t="s">
        <v>717</v>
      </c>
      <c r="F57" s="20" t="s">
        <v>718</v>
      </c>
    </row>
    <row r="58">
      <c r="A58" s="33" t="s">
        <v>379</v>
      </c>
      <c r="B58" s="20" t="s">
        <v>721</v>
      </c>
      <c r="C58" s="20" t="s">
        <v>722</v>
      </c>
      <c r="D58" s="20" t="s">
        <v>724</v>
      </c>
      <c r="E58" s="20" t="s">
        <v>725</v>
      </c>
    </row>
    <row r="59">
      <c r="A59" s="33" t="s">
        <v>502</v>
      </c>
      <c r="B59" s="20" t="s">
        <v>728</v>
      </c>
      <c r="C59" s="20" t="s">
        <v>424</v>
      </c>
      <c r="D59" s="20" t="s">
        <v>450</v>
      </c>
      <c r="E59" s="20" t="s">
        <v>702</v>
      </c>
      <c r="F59" s="20" t="s">
        <v>609</v>
      </c>
    </row>
    <row r="60">
      <c r="A60" s="34" t="s">
        <v>517</v>
      </c>
      <c r="B60" s="20" t="s">
        <v>730</v>
      </c>
      <c r="C60" s="20" t="s">
        <v>731</v>
      </c>
      <c r="D60" s="20" t="s">
        <v>732</v>
      </c>
      <c r="E60" s="20" t="s">
        <v>495</v>
      </c>
      <c r="F60" s="20" t="s">
        <v>473</v>
      </c>
    </row>
    <row r="61">
      <c r="A61" s="34" t="s">
        <v>536</v>
      </c>
      <c r="B61" s="20" t="s">
        <v>734</v>
      </c>
      <c r="C61" s="20" t="s">
        <v>735</v>
      </c>
      <c r="D61" s="20" t="s">
        <v>736</v>
      </c>
      <c r="E61" s="20" t="s">
        <v>737</v>
      </c>
    </row>
    <row r="62">
      <c r="A62" s="34" t="s">
        <v>345</v>
      </c>
      <c r="B62" s="20" t="s">
        <v>738</v>
      </c>
    </row>
    <row r="63">
      <c r="A63" s="33" t="s">
        <v>205</v>
      </c>
      <c r="B63" s="20" t="s">
        <v>742</v>
      </c>
      <c r="C63" s="20" t="s">
        <v>743</v>
      </c>
      <c r="D63" s="20" t="s">
        <v>521</v>
      </c>
      <c r="E63" s="20" t="s">
        <v>744</v>
      </c>
      <c r="F63" s="20" t="s">
        <v>476</v>
      </c>
    </row>
    <row r="64">
      <c r="A64" s="33" t="s">
        <v>220</v>
      </c>
      <c r="B64" s="20" t="s">
        <v>745</v>
      </c>
      <c r="C64" s="20" t="s">
        <v>747</v>
      </c>
      <c r="D64" s="20" t="s">
        <v>749</v>
      </c>
      <c r="E64" s="20" t="s">
        <v>750</v>
      </c>
      <c r="F64" s="20" t="s">
        <v>751</v>
      </c>
    </row>
    <row r="65">
      <c r="A65" s="34" t="s">
        <v>566</v>
      </c>
      <c r="B65" s="20" t="s">
        <v>753</v>
      </c>
      <c r="C65" s="20" t="s">
        <v>397</v>
      </c>
      <c r="D65" s="20" t="s">
        <v>744</v>
      </c>
      <c r="E65" s="20" t="s">
        <v>398</v>
      </c>
      <c r="F65" s="20" t="s">
        <v>754</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s>
  <drawing r:id="rId65"/>
</worksheet>
</file>